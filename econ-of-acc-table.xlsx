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bhattacha/Documents/open-surgical-dataset-extractor/s1_test_time/"/>
    </mc:Choice>
  </mc:AlternateContent>
  <xr:revisionPtr revIDLastSave="0" documentId="8_{94421F70-FE24-EE4E-B893-ABE95D11E614}" xr6:coauthVersionLast="47" xr6:coauthVersionMax="47" xr10:uidLastSave="{00000000-0000-0000-0000-000000000000}"/>
  <bookViews>
    <workbookView xWindow="-38240" yWindow="660" windowWidth="38080" windowHeight="20780" activeTab="2" xr2:uid="{24B1DCED-7AC2-A940-836D-ACEB3463715A}"/>
  </bookViews>
  <sheets>
    <sheet name="Sheet1" sheetId="1" r:id="rId1"/>
    <sheet name="Sheet2" sheetId="2" r:id="rId2"/>
    <sheet name="Sheet3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81" i="2" l="1"/>
  <c r="E81" i="2" s="1"/>
  <c r="F81" i="2" s="1"/>
  <c r="D80" i="2"/>
  <c r="G80" i="2" s="1"/>
  <c r="D79" i="2"/>
  <c r="G79" i="2" s="1"/>
  <c r="D78" i="2"/>
  <c r="E78" i="2" s="1"/>
  <c r="F78" i="2" s="1"/>
  <c r="D77" i="2"/>
  <c r="G77" i="2" s="1"/>
  <c r="D76" i="2"/>
  <c r="G76" i="2" s="1"/>
  <c r="D75" i="2"/>
  <c r="G75" i="2" s="1"/>
  <c r="D74" i="2"/>
  <c r="G74" i="2" s="1"/>
  <c r="D73" i="2"/>
  <c r="G73" i="2" s="1"/>
  <c r="D72" i="2"/>
  <c r="E72" i="2" s="1"/>
  <c r="F72" i="2" s="1"/>
  <c r="G71" i="2"/>
  <c r="E71" i="2"/>
  <c r="F71" i="2" s="1"/>
  <c r="G70" i="2"/>
  <c r="E70" i="2"/>
  <c r="F70" i="2" s="1"/>
  <c r="G69" i="2"/>
  <c r="E69" i="2"/>
  <c r="F69" i="2" s="1"/>
  <c r="G68" i="2"/>
  <c r="E68" i="2"/>
  <c r="F68" i="2" s="1"/>
  <c r="G67" i="2"/>
  <c r="E67" i="2"/>
  <c r="F67" i="2" s="1"/>
  <c r="G66" i="2"/>
  <c r="E66" i="2"/>
  <c r="F66" i="2" s="1"/>
  <c r="D65" i="2"/>
  <c r="G65" i="2" s="1"/>
  <c r="D64" i="2"/>
  <c r="G64" i="2" s="1"/>
  <c r="D63" i="2"/>
  <c r="G63" i="2" s="1"/>
  <c r="D62" i="2"/>
  <c r="G62" i="2" s="1"/>
  <c r="D61" i="2"/>
  <c r="G61" i="2" s="1"/>
  <c r="D60" i="2"/>
  <c r="G60" i="2" s="1"/>
  <c r="D59" i="2"/>
  <c r="G59" i="2" s="1"/>
  <c r="D58" i="2"/>
  <c r="E58" i="2" s="1"/>
  <c r="F58" i="2" s="1"/>
  <c r="D57" i="2"/>
  <c r="G57" i="2" s="1"/>
  <c r="D56" i="2"/>
  <c r="G56" i="2" s="1"/>
  <c r="D55" i="2"/>
  <c r="G55" i="2" s="1"/>
  <c r="D54" i="2"/>
  <c r="E54" i="2" s="1"/>
  <c r="F54" i="2" s="1"/>
  <c r="D53" i="2"/>
  <c r="G53" i="2" s="1"/>
  <c r="D52" i="2"/>
  <c r="G52" i="2" s="1"/>
  <c r="D51" i="2"/>
  <c r="G51" i="2" s="1"/>
  <c r="D50" i="2"/>
  <c r="G50" i="2" s="1"/>
  <c r="D49" i="2"/>
  <c r="G49" i="2" s="1"/>
  <c r="D48" i="2"/>
  <c r="G48" i="2" s="1"/>
  <c r="D47" i="2"/>
  <c r="G47" i="2" s="1"/>
  <c r="D46" i="2"/>
  <c r="E46" i="2" s="1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D33" i="2"/>
  <c r="G33" i="2" s="1"/>
  <c r="D32" i="2"/>
  <c r="E32" i="2" s="1"/>
  <c r="F32" i="2" s="1"/>
  <c r="D31" i="2"/>
  <c r="E31" i="2" s="1"/>
  <c r="F31" i="2" s="1"/>
  <c r="D30" i="2"/>
  <c r="G30" i="2" s="1"/>
  <c r="D29" i="2"/>
  <c r="G29" i="2" s="1"/>
  <c r="D28" i="2"/>
  <c r="G28" i="2" s="1"/>
  <c r="D27" i="2"/>
  <c r="G27" i="2" s="1"/>
  <c r="D26" i="2"/>
  <c r="G26" i="2" s="1"/>
  <c r="D25" i="2"/>
  <c r="G25" i="2" s="1"/>
  <c r="D24" i="2"/>
  <c r="G24" i="2" s="1"/>
  <c r="D23" i="2"/>
  <c r="E23" i="2" s="1"/>
  <c r="F23" i="2" s="1"/>
  <c r="D22" i="2"/>
  <c r="E22" i="2" s="1"/>
  <c r="F22" i="2" s="1"/>
  <c r="D21" i="2"/>
  <c r="G21" i="2" s="1"/>
  <c r="D20" i="2"/>
  <c r="G20" i="2" s="1"/>
  <c r="D19" i="2"/>
  <c r="E19" i="2" s="1"/>
  <c r="F19" i="2" s="1"/>
  <c r="D18" i="2"/>
  <c r="G18" i="2" s="1"/>
  <c r="D17" i="2"/>
  <c r="E17" i="2" s="1"/>
  <c r="F17" i="2" s="1"/>
  <c r="D16" i="2"/>
  <c r="E16" i="2" s="1"/>
  <c r="F16" i="2" s="1"/>
  <c r="D15" i="2"/>
  <c r="G15" i="2" s="1"/>
  <c r="D14" i="2"/>
  <c r="G14" i="2" s="1"/>
  <c r="G13" i="2"/>
  <c r="E13" i="2"/>
  <c r="F13" i="2" s="1"/>
  <c r="G12" i="2"/>
  <c r="E12" i="2"/>
  <c r="F12" i="2" s="1"/>
  <c r="G11" i="2"/>
  <c r="E11" i="2"/>
  <c r="F11" i="2" s="1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G5" i="2"/>
  <c r="E5" i="2"/>
  <c r="F5" i="2" s="1"/>
  <c r="G4" i="2"/>
  <c r="E4" i="2"/>
  <c r="F4" i="2" s="1"/>
  <c r="G3" i="2"/>
  <c r="E3" i="2"/>
  <c r="F3" i="2" s="1"/>
  <c r="G2" i="2"/>
  <c r="E2" i="2"/>
  <c r="F2" i="2" s="1"/>
  <c r="Y3" i="1"/>
  <c r="Y4" i="1"/>
  <c r="Y5" i="1"/>
  <c r="Y6" i="1"/>
  <c r="Y7" i="1"/>
  <c r="Y8" i="1"/>
  <c r="Y9" i="1"/>
  <c r="Y10" i="1"/>
  <c r="Y11" i="1"/>
  <c r="Y12" i="1"/>
  <c r="Y13" i="1"/>
  <c r="Y14" i="1"/>
  <c r="Y2" i="1"/>
  <c r="P3" i="1"/>
  <c r="P4" i="1"/>
  <c r="P5" i="1"/>
  <c r="P6" i="1"/>
  <c r="P7" i="1"/>
  <c r="P8" i="1"/>
  <c r="P9" i="1"/>
  <c r="P10" i="1"/>
  <c r="P11" i="1"/>
  <c r="P12" i="1"/>
  <c r="P13" i="1"/>
  <c r="P23" i="1"/>
  <c r="P2" i="1"/>
  <c r="G11" i="1"/>
  <c r="G12" i="1"/>
  <c r="G13" i="1"/>
  <c r="G10" i="1"/>
  <c r="G3" i="1"/>
  <c r="G4" i="1"/>
  <c r="G5" i="1"/>
  <c r="G6" i="1"/>
  <c r="G7" i="1"/>
  <c r="G8" i="1"/>
  <c r="G9" i="1"/>
  <c r="G14" i="1"/>
  <c r="G17" i="1"/>
  <c r="G22" i="1"/>
  <c r="G26" i="1"/>
  <c r="G2" i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23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W2" i="1"/>
  <c r="X2" i="1" s="1"/>
  <c r="V33" i="1"/>
  <c r="W33" i="1" s="1"/>
  <c r="V32" i="1"/>
  <c r="Y32" i="1" s="1"/>
  <c r="V31" i="1"/>
  <c r="Y31" i="1" s="1"/>
  <c r="V30" i="1"/>
  <c r="Y30" i="1" s="1"/>
  <c r="V29" i="1"/>
  <c r="Y29" i="1" s="1"/>
  <c r="V28" i="1"/>
  <c r="Y28" i="1" s="1"/>
  <c r="V27" i="1"/>
  <c r="Y27" i="1" s="1"/>
  <c r="V26" i="1"/>
  <c r="W26" i="1" s="1"/>
  <c r="X26" i="1" s="1"/>
  <c r="V25" i="1"/>
  <c r="Y25" i="1" s="1"/>
  <c r="V24" i="1"/>
  <c r="Y24" i="1" s="1"/>
  <c r="V23" i="1"/>
  <c r="Y23" i="1" s="1"/>
  <c r="V22" i="1"/>
  <c r="Y22" i="1" s="1"/>
  <c r="V21" i="1"/>
  <c r="Y21" i="1" s="1"/>
  <c r="V20" i="1"/>
  <c r="Y20" i="1" s="1"/>
  <c r="V19" i="1"/>
  <c r="W19" i="1" s="1"/>
  <c r="V18" i="1"/>
  <c r="Y18" i="1" s="1"/>
  <c r="V17" i="1"/>
  <c r="Y17" i="1" s="1"/>
  <c r="V16" i="1"/>
  <c r="V15" i="1"/>
  <c r="V14" i="1"/>
  <c r="N2" i="1"/>
  <c r="O2" i="1" s="1"/>
  <c r="M33" i="1"/>
  <c r="N33" i="1" s="1"/>
  <c r="O33" i="1" s="1"/>
  <c r="M32" i="1"/>
  <c r="N32" i="1" s="1"/>
  <c r="O32" i="1" s="1"/>
  <c r="M31" i="1"/>
  <c r="P31" i="1" s="1"/>
  <c r="M30" i="1"/>
  <c r="N30" i="1" s="1"/>
  <c r="O30" i="1" s="1"/>
  <c r="M29" i="1"/>
  <c r="N29" i="1" s="1"/>
  <c r="O29" i="1" s="1"/>
  <c r="M28" i="1"/>
  <c r="P28" i="1" s="1"/>
  <c r="M27" i="1"/>
  <c r="P27" i="1" s="1"/>
  <c r="M26" i="1"/>
  <c r="P26" i="1" s="1"/>
  <c r="M25" i="1"/>
  <c r="N25" i="1" s="1"/>
  <c r="O25" i="1" s="1"/>
  <c r="M24" i="1"/>
  <c r="N24" i="1" s="1"/>
  <c r="O24" i="1" s="1"/>
  <c r="M23" i="1"/>
  <c r="N23" i="1" s="1"/>
  <c r="O23" i="1" s="1"/>
  <c r="M22" i="1"/>
  <c r="N22" i="1" s="1"/>
  <c r="O22" i="1" s="1"/>
  <c r="M21" i="1"/>
  <c r="N21" i="1" s="1"/>
  <c r="O21" i="1" s="1"/>
  <c r="M20" i="1"/>
  <c r="N20" i="1" s="1"/>
  <c r="O20" i="1" s="1"/>
  <c r="M19" i="1"/>
  <c r="P19" i="1" s="1"/>
  <c r="M18" i="1"/>
  <c r="N18" i="1" s="1"/>
  <c r="O18" i="1" s="1"/>
  <c r="M17" i="1"/>
  <c r="P17" i="1" s="1"/>
  <c r="M16" i="1"/>
  <c r="N16" i="1" s="1"/>
  <c r="O16" i="1" s="1"/>
  <c r="M15" i="1"/>
  <c r="N15" i="1" s="1"/>
  <c r="O15" i="1" s="1"/>
  <c r="M14" i="1"/>
  <c r="N14" i="1" s="1"/>
  <c r="O14" i="1" s="1"/>
  <c r="F4" i="1"/>
  <c r="F9" i="1"/>
  <c r="F11" i="1"/>
  <c r="E3" i="1"/>
  <c r="F3" i="1" s="1"/>
  <c r="E4" i="1"/>
  <c r="E5" i="1"/>
  <c r="F5" i="1" s="1"/>
  <c r="E6" i="1"/>
  <c r="F6" i="1" s="1"/>
  <c r="E7" i="1"/>
  <c r="F7" i="1" s="1"/>
  <c r="E8" i="1"/>
  <c r="F8" i="1" s="1"/>
  <c r="E9" i="1"/>
  <c r="E10" i="1"/>
  <c r="F10" i="1" s="1"/>
  <c r="E11" i="1"/>
  <c r="E12" i="1"/>
  <c r="F12" i="1" s="1"/>
  <c r="E13" i="1"/>
  <c r="F13" i="1" s="1"/>
  <c r="E26" i="1"/>
  <c r="F26" i="1" s="1"/>
  <c r="E2" i="1"/>
  <c r="F2" i="1" s="1"/>
  <c r="D31" i="1"/>
  <c r="E31" i="1" s="1"/>
  <c r="F31" i="1" s="1"/>
  <c r="D32" i="1"/>
  <c r="E32" i="1" s="1"/>
  <c r="F32" i="1" s="1"/>
  <c r="D33" i="1"/>
  <c r="E33" i="1" s="1"/>
  <c r="F33" i="1" s="1"/>
  <c r="D30" i="1"/>
  <c r="G30" i="1" s="1"/>
  <c r="D27" i="1"/>
  <c r="E27" i="1" s="1"/>
  <c r="F27" i="1" s="1"/>
  <c r="D28" i="1"/>
  <c r="E28" i="1" s="1"/>
  <c r="F28" i="1" s="1"/>
  <c r="D29" i="1"/>
  <c r="E29" i="1" s="1"/>
  <c r="F29" i="1" s="1"/>
  <c r="D26" i="1"/>
  <c r="D23" i="1"/>
  <c r="G23" i="1" s="1"/>
  <c r="D24" i="1"/>
  <c r="G24" i="1" s="1"/>
  <c r="D25" i="1"/>
  <c r="G25" i="1" s="1"/>
  <c r="D22" i="1"/>
  <c r="E22" i="1" s="1"/>
  <c r="F22" i="1" s="1"/>
  <c r="D19" i="1"/>
  <c r="E19" i="1" s="1"/>
  <c r="F19" i="1" s="1"/>
  <c r="D20" i="1"/>
  <c r="E20" i="1" s="1"/>
  <c r="F20" i="1" s="1"/>
  <c r="D21" i="1"/>
  <c r="E21" i="1" s="1"/>
  <c r="F21" i="1" s="1"/>
  <c r="D18" i="1"/>
  <c r="E18" i="1" s="1"/>
  <c r="F18" i="1" s="1"/>
  <c r="D15" i="1"/>
  <c r="G15" i="1" s="1"/>
  <c r="D16" i="1"/>
  <c r="E16" i="1" s="1"/>
  <c r="F16" i="1" s="1"/>
  <c r="D17" i="1"/>
  <c r="E17" i="1" s="1"/>
  <c r="F17" i="1" s="1"/>
  <c r="D14" i="1"/>
  <c r="E14" i="1" s="1"/>
  <c r="F14" i="1" s="1"/>
  <c r="G22" i="2" l="1"/>
  <c r="G31" i="2"/>
  <c r="P30" i="1"/>
  <c r="G16" i="2"/>
  <c r="E60" i="2"/>
  <c r="F60" i="2" s="1"/>
  <c r="E14" i="2"/>
  <c r="F14" i="2" s="1"/>
  <c r="P18" i="1"/>
  <c r="N31" i="1"/>
  <c r="O31" i="1" s="1"/>
  <c r="N28" i="1"/>
  <c r="O28" i="1" s="1"/>
  <c r="N27" i="1"/>
  <c r="O27" i="1" s="1"/>
  <c r="P16" i="1"/>
  <c r="N19" i="1"/>
  <c r="O19" i="1" s="1"/>
  <c r="W25" i="1"/>
  <c r="P15" i="1"/>
  <c r="E51" i="2"/>
  <c r="F51" i="2" s="1"/>
  <c r="W24" i="1"/>
  <c r="X24" i="1" s="1"/>
  <c r="P14" i="1"/>
  <c r="G19" i="2"/>
  <c r="E75" i="2"/>
  <c r="F75" i="2" s="1"/>
  <c r="G81" i="2"/>
  <c r="E77" i="2"/>
  <c r="F77" i="2" s="1"/>
  <c r="G72" i="2"/>
  <c r="G78" i="2"/>
  <c r="E73" i="2"/>
  <c r="F73" i="2" s="1"/>
  <c r="E79" i="2"/>
  <c r="F79" i="2" s="1"/>
  <c r="E80" i="2"/>
  <c r="F80" i="2" s="1"/>
  <c r="E76" i="2"/>
  <c r="F76" i="2" s="1"/>
  <c r="E74" i="2"/>
  <c r="F74" i="2" s="1"/>
  <c r="E64" i="2"/>
  <c r="F64" i="2" s="1"/>
  <c r="E63" i="2"/>
  <c r="F63" i="2" s="1"/>
  <c r="E57" i="2"/>
  <c r="F57" i="2" s="1"/>
  <c r="G54" i="2"/>
  <c r="E52" i="2"/>
  <c r="F52" i="2" s="1"/>
  <c r="E61" i="2"/>
  <c r="F61" i="2" s="1"/>
  <c r="G46" i="2"/>
  <c r="G58" i="2"/>
  <c r="E47" i="2"/>
  <c r="F47" i="2" s="1"/>
  <c r="E50" i="2"/>
  <c r="F50" i="2" s="1"/>
  <c r="E53" i="2"/>
  <c r="F53" i="2" s="1"/>
  <c r="E56" i="2"/>
  <c r="F56" i="2" s="1"/>
  <c r="E59" i="2"/>
  <c r="F59" i="2" s="1"/>
  <c r="E62" i="2"/>
  <c r="F62" i="2" s="1"/>
  <c r="E65" i="2"/>
  <c r="F65" i="2" s="1"/>
  <c r="E48" i="2"/>
  <c r="F48" i="2" s="1"/>
  <c r="E49" i="2"/>
  <c r="F49" i="2" s="1"/>
  <c r="E55" i="2"/>
  <c r="F55" i="2" s="1"/>
  <c r="E25" i="2"/>
  <c r="F25" i="2" s="1"/>
  <c r="E28" i="2"/>
  <c r="F28" i="2" s="1"/>
  <c r="E20" i="2"/>
  <c r="F20" i="2" s="1"/>
  <c r="E26" i="2"/>
  <c r="F26" i="2" s="1"/>
  <c r="E29" i="2"/>
  <c r="F29" i="2" s="1"/>
  <c r="E15" i="2"/>
  <c r="F15" i="2" s="1"/>
  <c r="E18" i="2"/>
  <c r="F18" i="2" s="1"/>
  <c r="E21" i="2"/>
  <c r="F21" i="2" s="1"/>
  <c r="E24" i="2"/>
  <c r="F24" i="2" s="1"/>
  <c r="E27" i="2"/>
  <c r="F27" i="2" s="1"/>
  <c r="E30" i="2"/>
  <c r="F30" i="2" s="1"/>
  <c r="E33" i="2"/>
  <c r="F33" i="2" s="1"/>
  <c r="G17" i="2"/>
  <c r="G23" i="2"/>
  <c r="G32" i="2"/>
  <c r="W31" i="1"/>
  <c r="W22" i="1"/>
  <c r="X22" i="1" s="1"/>
  <c r="N26" i="1"/>
  <c r="O26" i="1" s="1"/>
  <c r="G33" i="1"/>
  <c r="G32" i="1"/>
  <c r="G31" i="1"/>
  <c r="E25" i="1"/>
  <c r="F25" i="1" s="1"/>
  <c r="W21" i="1"/>
  <c r="X21" i="1" s="1"/>
  <c r="Y33" i="1"/>
  <c r="E24" i="1"/>
  <c r="F24" i="1" s="1"/>
  <c r="G29" i="1"/>
  <c r="G21" i="1"/>
  <c r="G20" i="1"/>
  <c r="G19" i="1"/>
  <c r="E23" i="1"/>
  <c r="F23" i="1" s="1"/>
  <c r="G28" i="1"/>
  <c r="P25" i="1"/>
  <c r="P29" i="1"/>
  <c r="N17" i="1"/>
  <c r="O17" i="1" s="1"/>
  <c r="X31" i="1"/>
  <c r="W32" i="1"/>
  <c r="X32" i="1" s="1"/>
  <c r="W20" i="1"/>
  <c r="X20" i="1" s="1"/>
  <c r="G16" i="1"/>
  <c r="P24" i="1"/>
  <c r="Y26" i="1"/>
  <c r="G18" i="1"/>
  <c r="G27" i="1"/>
  <c r="Y19" i="1"/>
  <c r="P22" i="1"/>
  <c r="E30" i="1"/>
  <c r="F30" i="1" s="1"/>
  <c r="X23" i="1"/>
  <c r="W29" i="1"/>
  <c r="X29" i="1" s="1"/>
  <c r="W17" i="1"/>
  <c r="X17" i="1" s="1"/>
  <c r="P33" i="1"/>
  <c r="P21" i="1"/>
  <c r="E15" i="1"/>
  <c r="F15" i="1" s="1"/>
  <c r="W30" i="1"/>
  <c r="X30" i="1" s="1"/>
  <c r="W28" i="1"/>
  <c r="X28" i="1" s="1"/>
  <c r="W16" i="1"/>
  <c r="X16" i="1" s="1"/>
  <c r="P32" i="1"/>
  <c r="P20" i="1"/>
  <c r="Y16" i="1"/>
  <c r="W18" i="1"/>
  <c r="X18" i="1" s="1"/>
  <c r="X25" i="1"/>
  <c r="W27" i="1"/>
  <c r="X27" i="1" s="1"/>
  <c r="W15" i="1"/>
  <c r="X15" i="1" s="1"/>
  <c r="Y15" i="1"/>
  <c r="X19" i="1"/>
  <c r="X33" i="1"/>
</calcChain>
</file>

<file path=xl/sharedStrings.xml><?xml version="1.0" encoding="utf-8"?>
<sst xmlns="http://purl.oclc.org/ooxml/spreadsheetml/main" count="133" uniqueCount="16">
  <si>
    <t>27B models</t>
  </si>
  <si>
    <t>FT</t>
  </si>
  <si>
    <t>C</t>
  </si>
  <si>
    <t>tokens gen</t>
  </si>
  <si>
    <t>cost</t>
  </si>
  <si>
    <t>4B models</t>
  </si>
  <si>
    <t>1B models</t>
  </si>
  <si>
    <t>latency</t>
  </si>
  <si>
    <t>accuracy</t>
  </si>
  <si>
    <t>size</t>
  </si>
  <si>
    <t>dataset</t>
  </si>
  <si>
    <t>MIRAGE</t>
  </si>
  <si>
    <t>budget</t>
  </si>
  <si>
    <t>PubMedQA (no context)</t>
  </si>
  <si>
    <t>PubMedQA (with context)</t>
  </si>
  <si>
    <t>Medical exam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</si>
</sst>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12</c:v>
                </c:pt>
                <c:pt idx="1">
                  <c:v>112.00000000000001</c:v>
                </c:pt>
                <c:pt idx="2">
                  <c:v>1312</c:v>
                </c:pt>
                <c:pt idx="3">
                  <c:v>1412</c:v>
                </c:pt>
                <c:pt idx="4">
                  <c:v>29.999999999999996</c:v>
                </c:pt>
                <c:pt idx="5">
                  <c:v>130.00000000000003</c:v>
                </c:pt>
                <c:pt idx="6">
                  <c:v>1330</c:v>
                </c:pt>
                <c:pt idx="7">
                  <c:v>1430</c:v>
                </c:pt>
                <c:pt idx="8">
                  <c:v>150</c:v>
                </c:pt>
                <c:pt idx="9">
                  <c:v>250</c:v>
                </c:pt>
                <c:pt idx="10">
                  <c:v>1450</c:v>
                </c:pt>
                <c:pt idx="11">
                  <c:v>1550</c:v>
                </c:pt>
                <c:pt idx="12">
                  <c:v>49.2</c:v>
                </c:pt>
                <c:pt idx="13">
                  <c:v>149.19999999999999</c:v>
                </c:pt>
                <c:pt idx="14">
                  <c:v>1349.2</c:v>
                </c:pt>
                <c:pt idx="15">
                  <c:v>1449.1999999999998</c:v>
                </c:pt>
                <c:pt idx="16">
                  <c:v>68.400000000000006</c:v>
                </c:pt>
                <c:pt idx="17">
                  <c:v>168.40000000000003</c:v>
                </c:pt>
                <c:pt idx="18">
                  <c:v>1368.3999999999999</c:v>
                </c:pt>
                <c:pt idx="19">
                  <c:v>1468.3999999999999</c:v>
                </c:pt>
                <c:pt idx="20">
                  <c:v>106.8</c:v>
                </c:pt>
                <c:pt idx="21">
                  <c:v>206.79999999999998</c:v>
                </c:pt>
                <c:pt idx="22">
                  <c:v>1406.8</c:v>
                </c:pt>
                <c:pt idx="23">
                  <c:v>1506.8</c:v>
                </c:pt>
                <c:pt idx="24">
                  <c:v>145.20000000000002</c:v>
                </c:pt>
                <c:pt idx="25">
                  <c:v>245.2</c:v>
                </c:pt>
                <c:pt idx="26">
                  <c:v>1445.2</c:v>
                </c:pt>
                <c:pt idx="27">
                  <c:v>1545.2</c:v>
                </c:pt>
                <c:pt idx="28">
                  <c:v>183.60000000000002</c:v>
                </c:pt>
                <c:pt idx="29">
                  <c:v>283.60000000000002</c:v>
                </c:pt>
                <c:pt idx="30">
                  <c:v>1483.6</c:v>
                </c:pt>
                <c:pt idx="31">
                  <c:v>1583.6000000000001</c:v>
                </c:pt>
              </c:numCache>
            </c:numRef>
          </c:xVal>
          <c:yVal>
            <c:numRef>
              <c:f>Sheet1!$H$2:$H$33</c:f>
              <c:numCache>
                <c:formatCode>General</c:formatCode>
                <c:ptCount val="32"/>
                <c:pt idx="0">
                  <c:v>55.3</c:v>
                </c:pt>
                <c:pt idx="1">
                  <c:v>60</c:v>
                </c:pt>
                <c:pt idx="2">
                  <c:v>59.9</c:v>
                </c:pt>
                <c:pt idx="3">
                  <c:v>74.7</c:v>
                </c:pt>
                <c:pt idx="4">
                  <c:v>58.4</c:v>
                </c:pt>
                <c:pt idx="5">
                  <c:v>68.400000000000006</c:v>
                </c:pt>
                <c:pt idx="6">
                  <c:v>61.7</c:v>
                </c:pt>
                <c:pt idx="7">
                  <c:v>77.400000000000006</c:v>
                </c:pt>
                <c:pt idx="8">
                  <c:v>61.2</c:v>
                </c:pt>
                <c:pt idx="9">
                  <c:v>70.099999999999994</c:v>
                </c:pt>
                <c:pt idx="10">
                  <c:v>76.8</c:v>
                </c:pt>
                <c:pt idx="11">
                  <c:v>75.2</c:v>
                </c:pt>
                <c:pt idx="12">
                  <c:v>62.1</c:v>
                </c:pt>
                <c:pt idx="13">
                  <c:v>72.099999999999994</c:v>
                </c:pt>
                <c:pt idx="14">
                  <c:v>58.1</c:v>
                </c:pt>
                <c:pt idx="15">
                  <c:v>76.099999999999994</c:v>
                </c:pt>
                <c:pt idx="16">
                  <c:v>63.8</c:v>
                </c:pt>
                <c:pt idx="17">
                  <c:v>72.2</c:v>
                </c:pt>
                <c:pt idx="18">
                  <c:v>65.099999999999994</c:v>
                </c:pt>
                <c:pt idx="19">
                  <c:v>74.400000000000006</c:v>
                </c:pt>
                <c:pt idx="20">
                  <c:v>64.2</c:v>
                </c:pt>
                <c:pt idx="21">
                  <c:v>71.099999999999994</c:v>
                </c:pt>
                <c:pt idx="22">
                  <c:v>75.099999999999994</c:v>
                </c:pt>
                <c:pt idx="23">
                  <c:v>73</c:v>
                </c:pt>
                <c:pt idx="24">
                  <c:v>65.400000000000006</c:v>
                </c:pt>
                <c:pt idx="25">
                  <c:v>68.900000000000006</c:v>
                </c:pt>
                <c:pt idx="26">
                  <c:v>77.3</c:v>
                </c:pt>
                <c:pt idx="27">
                  <c:v>71.599999999999994</c:v>
                </c:pt>
                <c:pt idx="28">
                  <c:v>66.8</c:v>
                </c:pt>
                <c:pt idx="29">
                  <c:v>61.3</c:v>
                </c:pt>
                <c:pt idx="30">
                  <c:v>80.099999999999994</c:v>
                </c:pt>
                <c:pt idx="31">
                  <c:v>70.099999999999994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A-0F46-8BCE-E68F05697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596016"/>
        <c:axId val="743809744"/>
      </c:scatterChart>
      <c:valAx>
        <c:axId val="74359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09744"/>
        <c:crosses val="autoZero"/>
        <c:crossBetween val="midCat"/>
      </c:valAx>
      <c:valAx>
        <c:axId val="74380974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Sheet1!$O$2:$O$33</c:f>
              <c:numCache>
                <c:formatCode>General</c:formatCode>
                <c:ptCount val="32"/>
                <c:pt idx="0">
                  <c:v>3.5999999999999996</c:v>
                </c:pt>
                <c:pt idx="1">
                  <c:v>103.60000000000001</c:v>
                </c:pt>
                <c:pt idx="2">
                  <c:v>1303.6000000000001</c:v>
                </c:pt>
                <c:pt idx="3">
                  <c:v>1403.6000000000001</c:v>
                </c:pt>
                <c:pt idx="4">
                  <c:v>8.9999999999999982</c:v>
                </c:pt>
                <c:pt idx="5">
                  <c:v>109</c:v>
                </c:pt>
                <c:pt idx="6">
                  <c:v>1308.9999999999998</c:v>
                </c:pt>
                <c:pt idx="7">
                  <c:v>1408.9999999999998</c:v>
                </c:pt>
                <c:pt idx="8">
                  <c:v>44.999999999999993</c:v>
                </c:pt>
                <c:pt idx="9">
                  <c:v>145</c:v>
                </c:pt>
                <c:pt idx="10">
                  <c:v>1344.9999999999998</c:v>
                </c:pt>
                <c:pt idx="11">
                  <c:v>1445</c:v>
                </c:pt>
                <c:pt idx="12">
                  <c:v>14.760000000000002</c:v>
                </c:pt>
                <c:pt idx="13">
                  <c:v>114.76</c:v>
                </c:pt>
                <c:pt idx="14">
                  <c:v>1314.76</c:v>
                </c:pt>
                <c:pt idx="15">
                  <c:v>1414.76</c:v>
                </c:pt>
                <c:pt idx="16">
                  <c:v>20.52</c:v>
                </c:pt>
                <c:pt idx="17">
                  <c:v>120.52000000000001</c:v>
                </c:pt>
                <c:pt idx="18">
                  <c:v>1320.52</c:v>
                </c:pt>
                <c:pt idx="19">
                  <c:v>1420.52</c:v>
                </c:pt>
                <c:pt idx="20">
                  <c:v>32.04</c:v>
                </c:pt>
                <c:pt idx="21">
                  <c:v>132.04</c:v>
                </c:pt>
                <c:pt idx="22">
                  <c:v>1332.04</c:v>
                </c:pt>
                <c:pt idx="23">
                  <c:v>1432.04</c:v>
                </c:pt>
                <c:pt idx="24">
                  <c:v>43.559999999999995</c:v>
                </c:pt>
                <c:pt idx="25">
                  <c:v>143.55999999999997</c:v>
                </c:pt>
                <c:pt idx="26">
                  <c:v>1343.56</c:v>
                </c:pt>
                <c:pt idx="27">
                  <c:v>1443.56</c:v>
                </c:pt>
                <c:pt idx="28">
                  <c:v>55.079999999999991</c:v>
                </c:pt>
                <c:pt idx="29">
                  <c:v>155.07999999999998</c:v>
                </c:pt>
                <c:pt idx="30">
                  <c:v>1355.08</c:v>
                </c:pt>
                <c:pt idx="31">
                  <c:v>1455.0800000000002</c:v>
                </c:pt>
              </c:numCache>
            </c:numRef>
          </c:xVal>
          <c:yVal>
            <c:numRef>
              <c:f>Sheet1!$Q$2:$Q$33</c:f>
              <c:numCache>
                <c:formatCode>General</c:formatCode>
                <c:ptCount val="32"/>
                <c:pt idx="0">
                  <c:v>44.1</c:v>
                </c:pt>
                <c:pt idx="1">
                  <c:v>60.3</c:v>
                </c:pt>
                <c:pt idx="2">
                  <c:v>47.2</c:v>
                </c:pt>
                <c:pt idx="3">
                  <c:v>73.099999999999994</c:v>
                </c:pt>
                <c:pt idx="4">
                  <c:v>40.200000000000003</c:v>
                </c:pt>
                <c:pt idx="5">
                  <c:v>64.7</c:v>
                </c:pt>
                <c:pt idx="6">
                  <c:v>46.6</c:v>
                </c:pt>
                <c:pt idx="7">
                  <c:v>56.2</c:v>
                </c:pt>
                <c:pt idx="8">
                  <c:v>41.7</c:v>
                </c:pt>
                <c:pt idx="9">
                  <c:v>70.099999999999994</c:v>
                </c:pt>
                <c:pt idx="10">
                  <c:v>49.2</c:v>
                </c:pt>
                <c:pt idx="11">
                  <c:v>74.3</c:v>
                </c:pt>
                <c:pt idx="12">
                  <c:v>45.5</c:v>
                </c:pt>
                <c:pt idx="13">
                  <c:v>76</c:v>
                </c:pt>
                <c:pt idx="14">
                  <c:v>48</c:v>
                </c:pt>
                <c:pt idx="15">
                  <c:v>75.2</c:v>
                </c:pt>
                <c:pt idx="16">
                  <c:v>48.7</c:v>
                </c:pt>
                <c:pt idx="17">
                  <c:v>74.3</c:v>
                </c:pt>
                <c:pt idx="18">
                  <c:v>49.7</c:v>
                </c:pt>
                <c:pt idx="19">
                  <c:v>76.5</c:v>
                </c:pt>
                <c:pt idx="20">
                  <c:v>51.7</c:v>
                </c:pt>
                <c:pt idx="21">
                  <c:v>66.7</c:v>
                </c:pt>
                <c:pt idx="22">
                  <c:v>50.1</c:v>
                </c:pt>
                <c:pt idx="23">
                  <c:v>71.3</c:v>
                </c:pt>
                <c:pt idx="24">
                  <c:v>49.3</c:v>
                </c:pt>
                <c:pt idx="25">
                  <c:v>65.099999999999994</c:v>
                </c:pt>
                <c:pt idx="26">
                  <c:v>50.1</c:v>
                </c:pt>
                <c:pt idx="27">
                  <c:v>64.5</c:v>
                </c:pt>
                <c:pt idx="28">
                  <c:v>49.1</c:v>
                </c:pt>
                <c:pt idx="29">
                  <c:v>65.3</c:v>
                </c:pt>
                <c:pt idx="30">
                  <c:v>50.6</c:v>
                </c:pt>
                <c:pt idx="31">
                  <c:v>63.8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3-0647-B14F-7FCDE9B5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45296"/>
        <c:axId val="261547008"/>
      </c:scatterChart>
      <c:valAx>
        <c:axId val="26154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47008"/>
        <c:crosses val="autoZero"/>
        <c:crossBetween val="midCat"/>
      </c:valAx>
      <c:valAx>
        <c:axId val="261547008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4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Sheet1!$X$2:$X$33</c:f>
              <c:numCache>
                <c:formatCode>General</c:formatCode>
                <c:ptCount val="32"/>
                <c:pt idx="0">
                  <c:v>1.2000000000000002</c:v>
                </c:pt>
                <c:pt idx="1">
                  <c:v>101.2</c:v>
                </c:pt>
                <c:pt idx="2">
                  <c:v>1301.2</c:v>
                </c:pt>
                <c:pt idx="3">
                  <c:v>1401.2</c:v>
                </c:pt>
                <c:pt idx="4">
                  <c:v>2.9999999999999996</c:v>
                </c:pt>
                <c:pt idx="5">
                  <c:v>103.00000000000001</c:v>
                </c:pt>
                <c:pt idx="6">
                  <c:v>1303</c:v>
                </c:pt>
                <c:pt idx="7">
                  <c:v>1403</c:v>
                </c:pt>
                <c:pt idx="8">
                  <c:v>15</c:v>
                </c:pt>
                <c:pt idx="9">
                  <c:v>115</c:v>
                </c:pt>
                <c:pt idx="10">
                  <c:v>1315</c:v>
                </c:pt>
                <c:pt idx="11">
                  <c:v>1415</c:v>
                </c:pt>
                <c:pt idx="12">
                  <c:v>4.92</c:v>
                </c:pt>
                <c:pt idx="13">
                  <c:v>104.92</c:v>
                </c:pt>
                <c:pt idx="14">
                  <c:v>1304.92</c:v>
                </c:pt>
                <c:pt idx="15">
                  <c:v>1404.92</c:v>
                </c:pt>
                <c:pt idx="16">
                  <c:v>6.8400000000000007</c:v>
                </c:pt>
                <c:pt idx="17">
                  <c:v>106.84</c:v>
                </c:pt>
                <c:pt idx="18">
                  <c:v>1306.8399999999999</c:v>
                </c:pt>
                <c:pt idx="19">
                  <c:v>1406.84</c:v>
                </c:pt>
                <c:pt idx="20">
                  <c:v>10.68</c:v>
                </c:pt>
                <c:pt idx="21">
                  <c:v>110.68</c:v>
                </c:pt>
                <c:pt idx="22">
                  <c:v>1310.6799999999998</c:v>
                </c:pt>
                <c:pt idx="23">
                  <c:v>1410.68</c:v>
                </c:pt>
                <c:pt idx="24">
                  <c:v>14.52</c:v>
                </c:pt>
                <c:pt idx="25">
                  <c:v>114.52000000000001</c:v>
                </c:pt>
                <c:pt idx="26">
                  <c:v>1314.52</c:v>
                </c:pt>
                <c:pt idx="27">
                  <c:v>1414.52</c:v>
                </c:pt>
                <c:pt idx="28">
                  <c:v>18.36</c:v>
                </c:pt>
                <c:pt idx="29">
                  <c:v>118.36</c:v>
                </c:pt>
                <c:pt idx="30">
                  <c:v>1318.36</c:v>
                </c:pt>
                <c:pt idx="31">
                  <c:v>1418.3600000000001</c:v>
                </c:pt>
              </c:numCache>
            </c:numRef>
          </c:xVal>
          <c:yVal>
            <c:numRef>
              <c:f>Sheet1!$Z$2:$Z$33</c:f>
              <c:numCache>
                <c:formatCode>General</c:formatCode>
                <c:ptCount val="32"/>
                <c:pt idx="0">
                  <c:v>34.6</c:v>
                </c:pt>
                <c:pt idx="1">
                  <c:v>58.5</c:v>
                </c:pt>
                <c:pt idx="4">
                  <c:v>27.7</c:v>
                </c:pt>
                <c:pt idx="5">
                  <c:v>58.6</c:v>
                </c:pt>
                <c:pt idx="8">
                  <c:v>27.3</c:v>
                </c:pt>
                <c:pt idx="9">
                  <c:v>63.1</c:v>
                </c:pt>
                <c:pt idx="12">
                  <c:v>37.1</c:v>
                </c:pt>
                <c:pt idx="13">
                  <c:v>67.3</c:v>
                </c:pt>
                <c:pt idx="16">
                  <c:v>37.9</c:v>
                </c:pt>
                <c:pt idx="17">
                  <c:v>60.7</c:v>
                </c:pt>
                <c:pt idx="20">
                  <c:v>41.4</c:v>
                </c:pt>
                <c:pt idx="21">
                  <c:v>57.6</c:v>
                </c:pt>
                <c:pt idx="24">
                  <c:v>44.6</c:v>
                </c:pt>
                <c:pt idx="25">
                  <c:v>60</c:v>
                </c:pt>
                <c:pt idx="28">
                  <c:v>46.2</c:v>
                </c:pt>
                <c:pt idx="29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E-1649-9B81-22771DA84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757168"/>
        <c:axId val="743758880"/>
      </c:scatterChart>
      <c:valAx>
        <c:axId val="74375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58880"/>
        <c:crosses val="autoZero"/>
        <c:crossBetween val="midCat"/>
      </c:valAx>
      <c:valAx>
        <c:axId val="743758880"/>
        <c:scaling>
          <c:orientation val="minMax"/>
          <c:max val="85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5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152400</xdr:colOff>
      <xdr:row>33</xdr:row>
      <xdr:rowOff>101600</xdr:rowOff>
    </xdr:from>
    <xdr:to>
      <xdr:col>7</xdr:col>
      <xdr:colOff>596900</xdr:colOff>
      <xdr:row>47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F8B9E4-42F5-9FED-B03B-DD79A0208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11</xdr:col>
      <xdr:colOff>419100</xdr:colOff>
      <xdr:row>33</xdr:row>
      <xdr:rowOff>76200</xdr:rowOff>
    </xdr:from>
    <xdr:to>
      <xdr:col>17</xdr:col>
      <xdr:colOff>38100</xdr:colOff>
      <xdr:row>46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86FA03-06F9-2C25-7068-7B8A5919F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19</xdr:col>
      <xdr:colOff>800100</xdr:colOff>
      <xdr:row>33</xdr:row>
      <xdr:rowOff>88900</xdr:rowOff>
    </xdr:from>
    <xdr:to>
      <xdr:col>25</xdr:col>
      <xdr:colOff>419100</xdr:colOff>
      <xdr:row>46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2B0D45-18F2-FE07-67DD-3CBA1DF0D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4260-7E10-2440-9539-29951952CB5F}">
  <dimension ref="A1:Z33"/>
  <sheetViews>
    <sheetView topLeftCell="E1" workbookViewId="0">
      <selection activeCell="T2" sqref="T2:Z33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8</v>
      </c>
      <c r="J1" t="s">
        <v>5</v>
      </c>
      <c r="K1" t="s">
        <v>1</v>
      </c>
      <c r="L1" t="s">
        <v>2</v>
      </c>
      <c r="M1" t="s">
        <v>3</v>
      </c>
      <c r="N1" t="s">
        <v>4</v>
      </c>
      <c r="P1" t="s">
        <v>7</v>
      </c>
      <c r="Q1" t="s">
        <v>8</v>
      </c>
      <c r="S1" t="s">
        <v>6</v>
      </c>
      <c r="T1" t="s">
        <v>1</v>
      </c>
      <c r="U1" t="s">
        <v>2</v>
      </c>
      <c r="V1" t="s">
        <v>3</v>
      </c>
      <c r="W1" t="s">
        <v>4</v>
      </c>
      <c r="Y1" t="s">
        <v>7</v>
      </c>
      <c r="Z1" t="s">
        <v>8</v>
      </c>
    </row>
    <row r="2" spans="1:26" x14ac:dyDescent="0.2">
      <c r="B2">
        <v>0</v>
      </c>
      <c r="C2">
        <v>0</v>
      </c>
      <c r="D2">
        <v>120</v>
      </c>
      <c r="E2">
        <f>(B2*0.0013) + (C2*0.0001) + ((D2/1000000) * 0.1)</f>
        <v>1.2E-5</v>
      </c>
      <c r="F2">
        <f>E2*1000000</f>
        <v>12</v>
      </c>
      <c r="G2">
        <f>(C2*0.3) + (D2/35)</f>
        <v>3.4285714285714284</v>
      </c>
      <c r="H2">
        <v>55.3</v>
      </c>
      <c r="K2">
        <v>0</v>
      </c>
      <c r="L2">
        <v>0</v>
      </c>
      <c r="M2">
        <v>120</v>
      </c>
      <c r="N2">
        <f>(K2*0.0013) + (L2*0.0001) + ((M2/1000000) * 0.03)</f>
        <v>3.5999999999999998E-6</v>
      </c>
      <c r="O2">
        <f>N2*1000000</f>
        <v>3.5999999999999996</v>
      </c>
      <c r="P2">
        <f>(L2*0.3) + (M2/200)</f>
        <v>0.6</v>
      </c>
      <c r="Q2">
        <v>44.1</v>
      </c>
      <c r="T2">
        <v>0</v>
      </c>
      <c r="U2">
        <v>0</v>
      </c>
      <c r="V2">
        <v>120</v>
      </c>
      <c r="W2">
        <f>(T2*0.0013) + (U2*0.0001) + ((V2/1000000) * 0.01)</f>
        <v>1.2000000000000002E-6</v>
      </c>
      <c r="X2">
        <f>W2*1000000</f>
        <v>1.2000000000000002</v>
      </c>
      <c r="Y2">
        <f>(U2*0.3) + (V2/300)</f>
        <v>0.4</v>
      </c>
      <c r="Z2">
        <v>34.6</v>
      </c>
    </row>
    <row r="3" spans="1:26" x14ac:dyDescent="0.2">
      <c r="B3">
        <v>0</v>
      </c>
      <c r="C3">
        <v>1</v>
      </c>
      <c r="D3">
        <v>120</v>
      </c>
      <c r="E3">
        <f t="shared" ref="E3:E33" si="0">(B3*0.0013) + (C3*0.0001) + ((D3/1000000) * 0.1)</f>
        <v>1.1200000000000001E-4</v>
      </c>
      <c r="F3">
        <f t="shared" ref="F3:F33" si="1">E3*1000000</f>
        <v>112.00000000000001</v>
      </c>
      <c r="G3">
        <f t="shared" ref="G3:G33" si="2">(C3*0.3) + (D3/35)</f>
        <v>3.7285714285714282</v>
      </c>
      <c r="H3">
        <v>60</v>
      </c>
      <c r="K3">
        <v>0</v>
      </c>
      <c r="L3">
        <v>1</v>
      </c>
      <c r="M3">
        <v>120</v>
      </c>
      <c r="N3">
        <f t="shared" ref="N3:N33" si="3">(K3*0.0013) + (L3*0.0001) + ((M3/1000000) * 0.03)</f>
        <v>1.0360000000000001E-4</v>
      </c>
      <c r="O3">
        <f t="shared" ref="O3:O33" si="4">N3*1000000</f>
        <v>103.60000000000001</v>
      </c>
      <c r="P3">
        <f t="shared" ref="P3:P33" si="5">(L3*0.3) + (M3/200)</f>
        <v>0.89999999999999991</v>
      </c>
      <c r="Q3">
        <v>60.3</v>
      </c>
      <c r="T3">
        <v>0</v>
      </c>
      <c r="U3">
        <v>1</v>
      </c>
      <c r="V3">
        <v>120</v>
      </c>
      <c r="W3">
        <f t="shared" ref="W3:W33" si="6">(T3*0.0013) + (U3*0.0001) + ((V3/1000000) * 0.01)</f>
        <v>1.0120000000000001E-4</v>
      </c>
      <c r="X3">
        <f t="shared" ref="X3:X33" si="7">W3*1000000</f>
        <v>101.2</v>
      </c>
      <c r="Y3">
        <f t="shared" ref="Y3:Y33" si="8">(U3*0.3) + (V3/300)</f>
        <v>0.7</v>
      </c>
      <c r="Z3">
        <v>58.5</v>
      </c>
    </row>
    <row r="4" spans="1:26" x14ac:dyDescent="0.2">
      <c r="B4">
        <v>1</v>
      </c>
      <c r="C4">
        <v>0</v>
      </c>
      <c r="D4">
        <v>120</v>
      </c>
      <c r="E4">
        <f t="shared" si="0"/>
        <v>1.312E-3</v>
      </c>
      <c r="F4">
        <f t="shared" si="1"/>
        <v>1312</v>
      </c>
      <c r="G4">
        <f t="shared" si="2"/>
        <v>3.4285714285714284</v>
      </c>
      <c r="H4">
        <v>59.9</v>
      </c>
      <c r="K4">
        <v>1</v>
      </c>
      <c r="L4">
        <v>0</v>
      </c>
      <c r="M4">
        <v>120</v>
      </c>
      <c r="N4">
        <f t="shared" si="3"/>
        <v>1.3036E-3</v>
      </c>
      <c r="O4">
        <f t="shared" si="4"/>
        <v>1303.6000000000001</v>
      </c>
      <c r="P4">
        <f t="shared" si="5"/>
        <v>0.6</v>
      </c>
      <c r="Q4">
        <v>47.2</v>
      </c>
      <c r="T4">
        <v>1</v>
      </c>
      <c r="U4">
        <v>0</v>
      </c>
      <c r="V4">
        <v>120</v>
      </c>
      <c r="W4">
        <f t="shared" si="6"/>
        <v>1.3012E-3</v>
      </c>
      <c r="X4">
        <f t="shared" si="7"/>
        <v>1301.2</v>
      </c>
      <c r="Y4">
        <f t="shared" si="8"/>
        <v>0.4</v>
      </c>
    </row>
    <row r="5" spans="1:26" x14ac:dyDescent="0.2">
      <c r="B5">
        <v>1</v>
      </c>
      <c r="C5">
        <v>1</v>
      </c>
      <c r="D5">
        <v>120</v>
      </c>
      <c r="E5">
        <f t="shared" si="0"/>
        <v>1.4120000000000001E-3</v>
      </c>
      <c r="F5">
        <f t="shared" si="1"/>
        <v>1412</v>
      </c>
      <c r="G5">
        <f t="shared" si="2"/>
        <v>3.7285714285714282</v>
      </c>
      <c r="H5">
        <v>74.7</v>
      </c>
      <c r="K5">
        <v>1</v>
      </c>
      <c r="L5">
        <v>1</v>
      </c>
      <c r="M5">
        <v>120</v>
      </c>
      <c r="N5">
        <f t="shared" si="3"/>
        <v>1.4036000000000001E-3</v>
      </c>
      <c r="O5">
        <f t="shared" si="4"/>
        <v>1403.6000000000001</v>
      </c>
      <c r="P5">
        <f t="shared" si="5"/>
        <v>0.89999999999999991</v>
      </c>
      <c r="Q5">
        <v>73.099999999999994</v>
      </c>
      <c r="T5">
        <v>1</v>
      </c>
      <c r="U5">
        <v>1</v>
      </c>
      <c r="V5">
        <v>120</v>
      </c>
      <c r="W5">
        <f t="shared" si="6"/>
        <v>1.4012E-3</v>
      </c>
      <c r="X5">
        <f t="shared" si="7"/>
        <v>1401.2</v>
      </c>
      <c r="Y5">
        <f t="shared" si="8"/>
        <v>0.7</v>
      </c>
    </row>
    <row r="6" spans="1:26" x14ac:dyDescent="0.2">
      <c r="B6">
        <v>0</v>
      </c>
      <c r="C6">
        <v>0</v>
      </c>
      <c r="D6">
        <v>300</v>
      </c>
      <c r="E6">
        <f t="shared" si="0"/>
        <v>2.9999999999999997E-5</v>
      </c>
      <c r="F6">
        <f t="shared" si="1"/>
        <v>29.999999999999996</v>
      </c>
      <c r="G6">
        <f t="shared" si="2"/>
        <v>8.5714285714285712</v>
      </c>
      <c r="H6">
        <v>58.4</v>
      </c>
      <c r="K6">
        <v>0</v>
      </c>
      <c r="L6">
        <v>0</v>
      </c>
      <c r="M6">
        <v>300</v>
      </c>
      <c r="N6">
        <f t="shared" si="3"/>
        <v>8.9999999999999985E-6</v>
      </c>
      <c r="O6">
        <f t="shared" si="4"/>
        <v>8.9999999999999982</v>
      </c>
      <c r="P6">
        <f t="shared" si="5"/>
        <v>1.5</v>
      </c>
      <c r="Q6">
        <v>40.200000000000003</v>
      </c>
      <c r="T6">
        <v>0</v>
      </c>
      <c r="U6">
        <v>0</v>
      </c>
      <c r="V6">
        <v>300</v>
      </c>
      <c r="W6">
        <f t="shared" si="6"/>
        <v>2.9999999999999997E-6</v>
      </c>
      <c r="X6">
        <f t="shared" si="7"/>
        <v>2.9999999999999996</v>
      </c>
      <c r="Y6">
        <f t="shared" si="8"/>
        <v>1</v>
      </c>
      <c r="Z6">
        <v>27.7</v>
      </c>
    </row>
    <row r="7" spans="1:26" x14ac:dyDescent="0.2">
      <c r="B7">
        <v>0</v>
      </c>
      <c r="C7">
        <v>1</v>
      </c>
      <c r="D7">
        <v>300</v>
      </c>
      <c r="E7">
        <f t="shared" si="0"/>
        <v>1.3000000000000002E-4</v>
      </c>
      <c r="F7">
        <f t="shared" si="1"/>
        <v>130.00000000000003</v>
      </c>
      <c r="G7">
        <f t="shared" si="2"/>
        <v>8.8714285714285719</v>
      </c>
      <c r="H7">
        <v>68.400000000000006</v>
      </c>
      <c r="K7">
        <v>0</v>
      </c>
      <c r="L7">
        <v>1</v>
      </c>
      <c r="M7">
        <v>300</v>
      </c>
      <c r="N7">
        <f t="shared" si="3"/>
        <v>1.0900000000000001E-4</v>
      </c>
      <c r="O7">
        <f t="shared" si="4"/>
        <v>109</v>
      </c>
      <c r="P7">
        <f t="shared" si="5"/>
        <v>1.8</v>
      </c>
      <c r="Q7">
        <v>64.7</v>
      </c>
      <c r="T7">
        <v>0</v>
      </c>
      <c r="U7">
        <v>1</v>
      </c>
      <c r="V7">
        <v>300</v>
      </c>
      <c r="W7">
        <f t="shared" si="6"/>
        <v>1.0300000000000001E-4</v>
      </c>
      <c r="X7">
        <f t="shared" si="7"/>
        <v>103.00000000000001</v>
      </c>
      <c r="Y7">
        <f t="shared" si="8"/>
        <v>1.3</v>
      </c>
      <c r="Z7">
        <v>58.6</v>
      </c>
    </row>
    <row r="8" spans="1:26" x14ac:dyDescent="0.2">
      <c r="B8">
        <v>1</v>
      </c>
      <c r="C8">
        <v>0</v>
      </c>
      <c r="D8">
        <v>300</v>
      </c>
      <c r="E8">
        <f t="shared" si="0"/>
        <v>1.33E-3</v>
      </c>
      <c r="F8">
        <f t="shared" si="1"/>
        <v>1330</v>
      </c>
      <c r="G8">
        <f t="shared" si="2"/>
        <v>8.5714285714285712</v>
      </c>
      <c r="H8">
        <v>61.7</v>
      </c>
      <c r="K8">
        <v>1</v>
      </c>
      <c r="L8">
        <v>0</v>
      </c>
      <c r="M8">
        <v>300</v>
      </c>
      <c r="N8">
        <f t="shared" si="3"/>
        <v>1.3089999999999998E-3</v>
      </c>
      <c r="O8">
        <f t="shared" si="4"/>
        <v>1308.9999999999998</v>
      </c>
      <c r="P8">
        <f t="shared" si="5"/>
        <v>1.5</v>
      </c>
      <c r="Q8">
        <v>46.6</v>
      </c>
      <c r="T8">
        <v>1</v>
      </c>
      <c r="U8">
        <v>0</v>
      </c>
      <c r="V8">
        <v>300</v>
      </c>
      <c r="W8">
        <f t="shared" si="6"/>
        <v>1.3029999999999999E-3</v>
      </c>
      <c r="X8">
        <f t="shared" si="7"/>
        <v>1303</v>
      </c>
      <c r="Y8">
        <f t="shared" si="8"/>
        <v>1</v>
      </c>
    </row>
    <row r="9" spans="1:26" x14ac:dyDescent="0.2">
      <c r="B9">
        <v>1</v>
      </c>
      <c r="C9">
        <v>1</v>
      </c>
      <c r="D9">
        <v>300</v>
      </c>
      <c r="E9">
        <f t="shared" si="0"/>
        <v>1.4300000000000001E-3</v>
      </c>
      <c r="F9">
        <f t="shared" si="1"/>
        <v>1430</v>
      </c>
      <c r="G9">
        <f t="shared" si="2"/>
        <v>8.8714285714285719</v>
      </c>
      <c r="H9">
        <v>77.400000000000006</v>
      </c>
      <c r="K9">
        <v>1</v>
      </c>
      <c r="L9">
        <v>1</v>
      </c>
      <c r="M9">
        <v>300</v>
      </c>
      <c r="N9">
        <f t="shared" si="3"/>
        <v>1.4089999999999999E-3</v>
      </c>
      <c r="O9">
        <f t="shared" si="4"/>
        <v>1408.9999999999998</v>
      </c>
      <c r="P9">
        <f t="shared" si="5"/>
        <v>1.8</v>
      </c>
      <c r="Q9">
        <v>56.2</v>
      </c>
      <c r="T9">
        <v>1</v>
      </c>
      <c r="U9">
        <v>1</v>
      </c>
      <c r="V9">
        <v>300</v>
      </c>
      <c r="W9">
        <f t="shared" si="6"/>
        <v>1.403E-3</v>
      </c>
      <c r="X9">
        <f t="shared" si="7"/>
        <v>1403</v>
      </c>
      <c r="Y9">
        <f t="shared" si="8"/>
        <v>1.3</v>
      </c>
    </row>
    <row r="10" spans="1:26" x14ac:dyDescent="0.2">
      <c r="B10">
        <v>0</v>
      </c>
      <c r="C10">
        <v>0</v>
      </c>
      <c r="D10">
        <v>1500</v>
      </c>
      <c r="E10">
        <f t="shared" si="0"/>
        <v>1.5000000000000001E-4</v>
      </c>
      <c r="F10">
        <f t="shared" si="1"/>
        <v>150</v>
      </c>
      <c r="G10">
        <f>(C10*0.3) + (D10/35/5)</f>
        <v>8.5714285714285712</v>
      </c>
      <c r="H10">
        <v>61.2</v>
      </c>
      <c r="K10">
        <v>0</v>
      </c>
      <c r="L10">
        <v>0</v>
      </c>
      <c r="M10">
        <v>1500</v>
      </c>
      <c r="N10">
        <f t="shared" si="3"/>
        <v>4.4999999999999996E-5</v>
      </c>
      <c r="O10">
        <f t="shared" si="4"/>
        <v>44.999999999999993</v>
      </c>
      <c r="P10">
        <f t="shared" si="5"/>
        <v>7.5</v>
      </c>
      <c r="Q10">
        <v>41.7</v>
      </c>
      <c r="T10">
        <v>0</v>
      </c>
      <c r="U10">
        <v>0</v>
      </c>
      <c r="V10">
        <v>1500</v>
      </c>
      <c r="W10">
        <f t="shared" si="6"/>
        <v>1.5E-5</v>
      </c>
      <c r="X10">
        <f t="shared" si="7"/>
        <v>15</v>
      </c>
      <c r="Y10">
        <f t="shared" si="8"/>
        <v>5</v>
      </c>
      <c r="Z10">
        <v>27.3</v>
      </c>
    </row>
    <row r="11" spans="1:26" x14ac:dyDescent="0.2">
      <c r="B11">
        <v>0</v>
      </c>
      <c r="C11">
        <v>1</v>
      </c>
      <c r="D11">
        <v>1500</v>
      </c>
      <c r="E11">
        <f t="shared" si="0"/>
        <v>2.5000000000000001E-4</v>
      </c>
      <c r="F11">
        <f t="shared" si="1"/>
        <v>250</v>
      </c>
      <c r="G11">
        <f t="shared" ref="G11:G13" si="9">(C11*0.3) + (D11/35/5)</f>
        <v>8.8714285714285719</v>
      </c>
      <c r="H11">
        <v>70.099999999999994</v>
      </c>
      <c r="K11">
        <v>0</v>
      </c>
      <c r="L11">
        <v>1</v>
      </c>
      <c r="M11">
        <v>1500</v>
      </c>
      <c r="N11">
        <f t="shared" si="3"/>
        <v>1.45E-4</v>
      </c>
      <c r="O11">
        <f t="shared" si="4"/>
        <v>145</v>
      </c>
      <c r="P11">
        <f t="shared" si="5"/>
        <v>7.8</v>
      </c>
      <c r="Q11">
        <v>70.099999999999994</v>
      </c>
      <c r="T11">
        <v>0</v>
      </c>
      <c r="U11">
        <v>1</v>
      </c>
      <c r="V11">
        <v>1500</v>
      </c>
      <c r="W11">
        <f t="shared" si="6"/>
        <v>1.15E-4</v>
      </c>
      <c r="X11">
        <f t="shared" si="7"/>
        <v>115</v>
      </c>
      <c r="Y11">
        <f t="shared" si="8"/>
        <v>5.3</v>
      </c>
      <c r="Z11">
        <v>63.1</v>
      </c>
    </row>
    <row r="12" spans="1:26" x14ac:dyDescent="0.2">
      <c r="B12">
        <v>1</v>
      </c>
      <c r="C12">
        <v>0</v>
      </c>
      <c r="D12">
        <v>1500</v>
      </c>
      <c r="E12">
        <f t="shared" si="0"/>
        <v>1.4499999999999999E-3</v>
      </c>
      <c r="F12">
        <f t="shared" si="1"/>
        <v>1450</v>
      </c>
      <c r="G12">
        <f t="shared" si="9"/>
        <v>8.5714285714285712</v>
      </c>
      <c r="H12">
        <v>76.8</v>
      </c>
      <c r="K12">
        <v>1</v>
      </c>
      <c r="L12">
        <v>0</v>
      </c>
      <c r="M12">
        <v>1500</v>
      </c>
      <c r="N12">
        <f t="shared" si="3"/>
        <v>1.3449999999999998E-3</v>
      </c>
      <c r="O12">
        <f t="shared" si="4"/>
        <v>1344.9999999999998</v>
      </c>
      <c r="P12">
        <f t="shared" si="5"/>
        <v>7.5</v>
      </c>
      <c r="Q12">
        <v>49.2</v>
      </c>
      <c r="T12">
        <v>1</v>
      </c>
      <c r="U12">
        <v>0</v>
      </c>
      <c r="V12">
        <v>1500</v>
      </c>
      <c r="W12">
        <f t="shared" si="6"/>
        <v>1.315E-3</v>
      </c>
      <c r="X12">
        <f t="shared" si="7"/>
        <v>1315</v>
      </c>
      <c r="Y12">
        <f t="shared" si="8"/>
        <v>5</v>
      </c>
    </row>
    <row r="13" spans="1:26" x14ac:dyDescent="0.2">
      <c r="B13">
        <v>1</v>
      </c>
      <c r="C13">
        <v>1</v>
      </c>
      <c r="D13">
        <v>1500</v>
      </c>
      <c r="E13">
        <f t="shared" si="0"/>
        <v>1.5499999999999999E-3</v>
      </c>
      <c r="F13">
        <f t="shared" si="1"/>
        <v>1550</v>
      </c>
      <c r="G13">
        <f t="shared" si="9"/>
        <v>8.8714285714285719</v>
      </c>
      <c r="H13">
        <v>75.2</v>
      </c>
      <c r="K13">
        <v>1</v>
      </c>
      <c r="L13">
        <v>1</v>
      </c>
      <c r="M13">
        <v>1500</v>
      </c>
      <c r="N13">
        <f t="shared" si="3"/>
        <v>1.4449999999999999E-3</v>
      </c>
      <c r="O13">
        <f t="shared" si="4"/>
        <v>1445</v>
      </c>
      <c r="P13">
        <f t="shared" si="5"/>
        <v>7.8</v>
      </c>
      <c r="Q13">
        <v>74.3</v>
      </c>
      <c r="T13">
        <v>1</v>
      </c>
      <c r="U13">
        <v>1</v>
      </c>
      <c r="V13">
        <v>1500</v>
      </c>
      <c r="W13">
        <f t="shared" si="6"/>
        <v>1.415E-3</v>
      </c>
      <c r="X13">
        <f t="shared" si="7"/>
        <v>1415</v>
      </c>
      <c r="Y13">
        <f t="shared" si="8"/>
        <v>5.3</v>
      </c>
    </row>
    <row r="14" spans="1:26" x14ac:dyDescent="0.2">
      <c r="B14" s="1">
        <v>0</v>
      </c>
      <c r="C14" s="1">
        <v>0</v>
      </c>
      <c r="D14" s="1">
        <f>300 + 1.5*128</f>
        <v>492</v>
      </c>
      <c r="E14">
        <f t="shared" si="0"/>
        <v>4.9200000000000003E-5</v>
      </c>
      <c r="F14">
        <f t="shared" si="1"/>
        <v>49.2</v>
      </c>
      <c r="G14">
        <f t="shared" si="2"/>
        <v>14.057142857142857</v>
      </c>
      <c r="H14">
        <v>62.1</v>
      </c>
      <c r="K14" s="1">
        <v>0</v>
      </c>
      <c r="L14" s="1">
        <v>0</v>
      </c>
      <c r="M14" s="1">
        <f>300 + 1.5*128</f>
        <v>492</v>
      </c>
      <c r="N14">
        <f t="shared" si="3"/>
        <v>1.4760000000000001E-5</v>
      </c>
      <c r="O14">
        <f t="shared" si="4"/>
        <v>14.760000000000002</v>
      </c>
      <c r="P14">
        <f t="shared" si="5"/>
        <v>2.46</v>
      </c>
      <c r="Q14">
        <v>45.5</v>
      </c>
      <c r="T14" s="1">
        <v>0</v>
      </c>
      <c r="U14" s="1">
        <v>0</v>
      </c>
      <c r="V14" s="1">
        <f>300 + 1.5*128</f>
        <v>492</v>
      </c>
      <c r="W14">
        <f t="shared" si="6"/>
        <v>4.9200000000000003E-6</v>
      </c>
      <c r="X14">
        <f t="shared" si="7"/>
        <v>4.92</v>
      </c>
      <c r="Y14">
        <f t="shared" si="8"/>
        <v>1.64</v>
      </c>
      <c r="Z14">
        <v>37.1</v>
      </c>
    </row>
    <row r="15" spans="1:26" x14ac:dyDescent="0.2">
      <c r="B15" s="1">
        <v>0</v>
      </c>
      <c r="C15" s="1">
        <v>1</v>
      </c>
      <c r="D15" s="1">
        <f t="shared" ref="D15:D17" si="10">300 + 1.5*128</f>
        <v>492</v>
      </c>
      <c r="E15">
        <f t="shared" si="0"/>
        <v>1.4919999999999999E-4</v>
      </c>
      <c r="F15">
        <f t="shared" si="1"/>
        <v>149.19999999999999</v>
      </c>
      <c r="G15">
        <f t="shared" si="2"/>
        <v>14.357142857142858</v>
      </c>
      <c r="H15">
        <v>72.099999999999994</v>
      </c>
      <c r="K15" s="1">
        <v>0</v>
      </c>
      <c r="L15" s="1">
        <v>1</v>
      </c>
      <c r="M15" s="1">
        <f t="shared" ref="M15:M17" si="11">300 + 1.5*128</f>
        <v>492</v>
      </c>
      <c r="N15">
        <f t="shared" si="3"/>
        <v>1.1476000000000001E-4</v>
      </c>
      <c r="O15">
        <f t="shared" si="4"/>
        <v>114.76</v>
      </c>
      <c r="P15">
        <f t="shared" si="5"/>
        <v>2.76</v>
      </c>
      <c r="Q15">
        <v>76</v>
      </c>
      <c r="T15" s="1">
        <v>0</v>
      </c>
      <c r="U15" s="1">
        <v>1</v>
      </c>
      <c r="V15" s="1">
        <f t="shared" ref="V15:V17" si="12">300 + 1.5*128</f>
        <v>492</v>
      </c>
      <c r="W15">
        <f t="shared" si="6"/>
        <v>1.0492000000000001E-4</v>
      </c>
      <c r="X15">
        <f t="shared" si="7"/>
        <v>104.92</v>
      </c>
      <c r="Y15">
        <f t="shared" si="8"/>
        <v>1.94</v>
      </c>
      <c r="Z15">
        <v>67.3</v>
      </c>
    </row>
    <row r="16" spans="1:26" x14ac:dyDescent="0.2">
      <c r="B16" s="1">
        <v>1</v>
      </c>
      <c r="C16" s="1">
        <v>0</v>
      </c>
      <c r="D16" s="1">
        <f t="shared" si="10"/>
        <v>492</v>
      </c>
      <c r="E16">
        <f t="shared" si="0"/>
        <v>1.3492000000000001E-3</v>
      </c>
      <c r="F16">
        <f t="shared" si="1"/>
        <v>1349.2</v>
      </c>
      <c r="G16">
        <f t="shared" si="2"/>
        <v>14.057142857142857</v>
      </c>
      <c r="H16">
        <v>58.1</v>
      </c>
      <c r="K16" s="1">
        <v>1</v>
      </c>
      <c r="L16" s="1">
        <v>0</v>
      </c>
      <c r="M16" s="1">
        <f t="shared" si="11"/>
        <v>492</v>
      </c>
      <c r="N16">
        <f t="shared" si="3"/>
        <v>1.3147599999999999E-3</v>
      </c>
      <c r="O16">
        <f t="shared" si="4"/>
        <v>1314.76</v>
      </c>
      <c r="P16">
        <f t="shared" si="5"/>
        <v>2.46</v>
      </c>
      <c r="Q16">
        <v>48</v>
      </c>
      <c r="T16" s="1">
        <v>1</v>
      </c>
      <c r="U16" s="1">
        <v>0</v>
      </c>
      <c r="V16" s="1">
        <f t="shared" si="12"/>
        <v>492</v>
      </c>
      <c r="W16">
        <f t="shared" si="6"/>
        <v>1.30492E-3</v>
      </c>
      <c r="X16">
        <f t="shared" si="7"/>
        <v>1304.92</v>
      </c>
      <c r="Y16">
        <f t="shared" si="8"/>
        <v>1.64</v>
      </c>
    </row>
    <row r="17" spans="2:26" x14ac:dyDescent="0.2">
      <c r="B17" s="1">
        <v>1</v>
      </c>
      <c r="C17" s="1">
        <v>1</v>
      </c>
      <c r="D17" s="1">
        <f t="shared" si="10"/>
        <v>492</v>
      </c>
      <c r="E17">
        <f t="shared" si="0"/>
        <v>1.4491999999999999E-3</v>
      </c>
      <c r="F17">
        <f t="shared" si="1"/>
        <v>1449.1999999999998</v>
      </c>
      <c r="G17">
        <f t="shared" si="2"/>
        <v>14.357142857142858</v>
      </c>
      <c r="H17">
        <v>76.099999999999994</v>
      </c>
      <c r="K17" s="1">
        <v>1</v>
      </c>
      <c r="L17" s="1">
        <v>1</v>
      </c>
      <c r="M17" s="1">
        <f t="shared" si="11"/>
        <v>492</v>
      </c>
      <c r="N17">
        <f t="shared" si="3"/>
        <v>1.4147599999999999E-3</v>
      </c>
      <c r="O17">
        <f t="shared" si="4"/>
        <v>1414.76</v>
      </c>
      <c r="P17">
        <f t="shared" si="5"/>
        <v>2.76</v>
      </c>
      <c r="Q17">
        <v>75.2</v>
      </c>
      <c r="T17" s="1">
        <v>1</v>
      </c>
      <c r="U17" s="1">
        <v>1</v>
      </c>
      <c r="V17" s="1">
        <f t="shared" si="12"/>
        <v>492</v>
      </c>
      <c r="W17">
        <f t="shared" si="6"/>
        <v>1.40492E-3</v>
      </c>
      <c r="X17">
        <f t="shared" si="7"/>
        <v>1404.92</v>
      </c>
      <c r="Y17">
        <f t="shared" si="8"/>
        <v>1.94</v>
      </c>
    </row>
    <row r="18" spans="2:26" x14ac:dyDescent="0.2">
      <c r="B18" s="1">
        <v>0</v>
      </c>
      <c r="C18" s="1">
        <v>0</v>
      </c>
      <c r="D18" s="1">
        <f>300+1.5*256</f>
        <v>684</v>
      </c>
      <c r="E18">
        <f t="shared" si="0"/>
        <v>6.8400000000000009E-5</v>
      </c>
      <c r="F18">
        <f t="shared" si="1"/>
        <v>68.400000000000006</v>
      </c>
      <c r="G18">
        <f t="shared" si="2"/>
        <v>19.542857142857144</v>
      </c>
      <c r="H18">
        <v>63.8</v>
      </c>
      <c r="K18" s="1">
        <v>0</v>
      </c>
      <c r="L18" s="1">
        <v>0</v>
      </c>
      <c r="M18" s="1">
        <f>300+1.5*256</f>
        <v>684</v>
      </c>
      <c r="N18">
        <f t="shared" si="3"/>
        <v>2.052E-5</v>
      </c>
      <c r="O18">
        <f t="shared" si="4"/>
        <v>20.52</v>
      </c>
      <c r="P18">
        <f t="shared" si="5"/>
        <v>3.42</v>
      </c>
      <c r="Q18">
        <v>48.7</v>
      </c>
      <c r="T18" s="1">
        <v>0</v>
      </c>
      <c r="U18" s="1">
        <v>0</v>
      </c>
      <c r="V18" s="1">
        <f>300+1.5*256</f>
        <v>684</v>
      </c>
      <c r="W18">
        <f t="shared" si="6"/>
        <v>6.8400000000000006E-6</v>
      </c>
      <c r="X18">
        <f t="shared" si="7"/>
        <v>6.8400000000000007</v>
      </c>
      <c r="Y18">
        <f t="shared" si="8"/>
        <v>2.2799999999999998</v>
      </c>
      <c r="Z18">
        <v>37.9</v>
      </c>
    </row>
    <row r="19" spans="2:26" x14ac:dyDescent="0.2">
      <c r="B19" s="1">
        <v>0</v>
      </c>
      <c r="C19" s="1">
        <v>1</v>
      </c>
      <c r="D19" s="1">
        <f t="shared" ref="D19:D21" si="13">300+1.5*256</f>
        <v>684</v>
      </c>
      <c r="E19">
        <f t="shared" si="0"/>
        <v>1.6840000000000003E-4</v>
      </c>
      <c r="F19">
        <f t="shared" si="1"/>
        <v>168.40000000000003</v>
      </c>
      <c r="G19">
        <f t="shared" si="2"/>
        <v>19.842857142857145</v>
      </c>
      <c r="H19">
        <v>72.2</v>
      </c>
      <c r="K19" s="1">
        <v>0</v>
      </c>
      <c r="L19" s="1">
        <v>1</v>
      </c>
      <c r="M19" s="1">
        <f t="shared" ref="M19:M21" si="14">300+1.5*256</f>
        <v>684</v>
      </c>
      <c r="N19">
        <f t="shared" si="3"/>
        <v>1.2052E-4</v>
      </c>
      <c r="O19">
        <f t="shared" si="4"/>
        <v>120.52000000000001</v>
      </c>
      <c r="P19">
        <f t="shared" si="5"/>
        <v>3.7199999999999998</v>
      </c>
      <c r="Q19">
        <v>74.3</v>
      </c>
      <c r="T19" s="1">
        <v>0</v>
      </c>
      <c r="U19" s="1">
        <v>1</v>
      </c>
      <c r="V19" s="1">
        <f t="shared" ref="V19:V25" si="15">300+1.5*256</f>
        <v>684</v>
      </c>
      <c r="W19">
        <f t="shared" si="6"/>
        <v>1.0684E-4</v>
      </c>
      <c r="X19">
        <f t="shared" si="7"/>
        <v>106.84</v>
      </c>
      <c r="Y19">
        <f t="shared" si="8"/>
        <v>2.5799999999999996</v>
      </c>
      <c r="Z19">
        <v>60.7</v>
      </c>
    </row>
    <row r="20" spans="2:26" x14ac:dyDescent="0.2">
      <c r="B20" s="1">
        <v>1</v>
      </c>
      <c r="C20" s="1">
        <v>0</v>
      </c>
      <c r="D20" s="1">
        <f t="shared" si="13"/>
        <v>684</v>
      </c>
      <c r="E20">
        <f t="shared" si="0"/>
        <v>1.3683999999999999E-3</v>
      </c>
      <c r="F20">
        <f t="shared" si="1"/>
        <v>1368.3999999999999</v>
      </c>
      <c r="G20">
        <f t="shared" si="2"/>
        <v>19.542857142857144</v>
      </c>
      <c r="H20">
        <v>65.099999999999994</v>
      </c>
      <c r="K20" s="1">
        <v>1</v>
      </c>
      <c r="L20" s="1">
        <v>0</v>
      </c>
      <c r="M20" s="1">
        <f t="shared" si="14"/>
        <v>684</v>
      </c>
      <c r="N20">
        <f t="shared" si="3"/>
        <v>1.3205199999999999E-3</v>
      </c>
      <c r="O20">
        <f t="shared" si="4"/>
        <v>1320.52</v>
      </c>
      <c r="P20">
        <f t="shared" si="5"/>
        <v>3.42</v>
      </c>
      <c r="Q20">
        <v>49.7</v>
      </c>
      <c r="T20" s="1">
        <v>1</v>
      </c>
      <c r="U20" s="1">
        <v>0</v>
      </c>
      <c r="V20" s="1">
        <f t="shared" si="15"/>
        <v>684</v>
      </c>
      <c r="W20">
        <f t="shared" si="6"/>
        <v>1.3068399999999999E-3</v>
      </c>
      <c r="X20">
        <f t="shared" si="7"/>
        <v>1306.8399999999999</v>
      </c>
      <c r="Y20">
        <f t="shared" si="8"/>
        <v>2.2799999999999998</v>
      </c>
    </row>
    <row r="21" spans="2:26" x14ac:dyDescent="0.2">
      <c r="B21" s="1">
        <v>1</v>
      </c>
      <c r="C21" s="1">
        <v>1</v>
      </c>
      <c r="D21" s="1">
        <f t="shared" si="13"/>
        <v>684</v>
      </c>
      <c r="E21">
        <f t="shared" si="0"/>
        <v>1.4683999999999999E-3</v>
      </c>
      <c r="F21">
        <f t="shared" si="1"/>
        <v>1468.3999999999999</v>
      </c>
      <c r="G21">
        <f t="shared" si="2"/>
        <v>19.842857142857145</v>
      </c>
      <c r="H21">
        <v>74.400000000000006</v>
      </c>
      <c r="K21" s="1">
        <v>1</v>
      </c>
      <c r="L21" s="1">
        <v>1</v>
      </c>
      <c r="M21" s="1">
        <f t="shared" si="14"/>
        <v>684</v>
      </c>
      <c r="N21">
        <f t="shared" si="3"/>
        <v>1.42052E-3</v>
      </c>
      <c r="O21">
        <f t="shared" si="4"/>
        <v>1420.52</v>
      </c>
      <c r="P21">
        <f t="shared" si="5"/>
        <v>3.7199999999999998</v>
      </c>
      <c r="Q21">
        <v>76.5</v>
      </c>
      <c r="T21" s="1">
        <v>1</v>
      </c>
      <c r="U21" s="1">
        <v>1</v>
      </c>
      <c r="V21" s="1">
        <f t="shared" si="15"/>
        <v>684</v>
      </c>
      <c r="W21">
        <f t="shared" si="6"/>
        <v>1.4068399999999999E-3</v>
      </c>
      <c r="X21">
        <f t="shared" si="7"/>
        <v>1406.84</v>
      </c>
      <c r="Y21">
        <f t="shared" si="8"/>
        <v>2.5799999999999996</v>
      </c>
    </row>
    <row r="22" spans="2:26" x14ac:dyDescent="0.2">
      <c r="B22" s="1">
        <v>0</v>
      </c>
      <c r="C22" s="1">
        <v>0</v>
      </c>
      <c r="D22" s="1">
        <f>300+1.5*512</f>
        <v>1068</v>
      </c>
      <c r="E22">
        <f t="shared" si="0"/>
        <v>1.0679999999999999E-4</v>
      </c>
      <c r="F22">
        <f t="shared" si="1"/>
        <v>106.8</v>
      </c>
      <c r="G22">
        <f t="shared" si="2"/>
        <v>30.514285714285716</v>
      </c>
      <c r="H22">
        <v>64.2</v>
      </c>
      <c r="K22" s="1">
        <v>0</v>
      </c>
      <c r="L22" s="1">
        <v>0</v>
      </c>
      <c r="M22" s="1">
        <f>300+1.5*512</f>
        <v>1068</v>
      </c>
      <c r="N22">
        <f t="shared" si="3"/>
        <v>3.2039999999999998E-5</v>
      </c>
      <c r="O22">
        <f t="shared" si="4"/>
        <v>32.04</v>
      </c>
      <c r="P22">
        <f t="shared" si="5"/>
        <v>5.34</v>
      </c>
      <c r="Q22">
        <v>51.7</v>
      </c>
      <c r="T22" s="1">
        <v>0</v>
      </c>
      <c r="U22" s="1">
        <v>0</v>
      </c>
      <c r="V22" s="1">
        <f>300+1.5*512</f>
        <v>1068</v>
      </c>
      <c r="W22">
        <f t="shared" si="6"/>
        <v>1.0679999999999999E-5</v>
      </c>
      <c r="X22">
        <f t="shared" si="7"/>
        <v>10.68</v>
      </c>
      <c r="Y22">
        <f t="shared" si="8"/>
        <v>3.56</v>
      </c>
      <c r="Z22">
        <v>41.4</v>
      </c>
    </row>
    <row r="23" spans="2:26" x14ac:dyDescent="0.2">
      <c r="B23" s="1">
        <v>0</v>
      </c>
      <c r="C23" s="1">
        <v>1</v>
      </c>
      <c r="D23" s="1">
        <f t="shared" ref="D23:D25" si="16">300+1.5*512</f>
        <v>1068</v>
      </c>
      <c r="E23">
        <f t="shared" si="0"/>
        <v>2.0679999999999999E-4</v>
      </c>
      <c r="F23">
        <f t="shared" si="1"/>
        <v>206.79999999999998</v>
      </c>
      <c r="G23">
        <f t="shared" si="2"/>
        <v>30.814285714285717</v>
      </c>
      <c r="H23">
        <v>71.099999999999994</v>
      </c>
      <c r="K23" s="1">
        <v>0</v>
      </c>
      <c r="L23" s="1">
        <v>1</v>
      </c>
      <c r="M23" s="1">
        <f t="shared" ref="M23:M25" si="17">300+1.5*512</f>
        <v>1068</v>
      </c>
      <c r="N23">
        <f t="shared" si="3"/>
        <v>1.3203999999999999E-4</v>
      </c>
      <c r="O23">
        <f t="shared" si="4"/>
        <v>132.04</v>
      </c>
      <c r="P23">
        <f t="shared" si="5"/>
        <v>5.64</v>
      </c>
      <c r="Q23">
        <v>66.7</v>
      </c>
      <c r="T23" s="1">
        <v>0</v>
      </c>
      <c r="U23" s="1">
        <v>1</v>
      </c>
      <c r="V23" s="1">
        <f t="shared" ref="V23:V29" si="18">300+1.5*512</f>
        <v>1068</v>
      </c>
      <c r="W23">
        <f t="shared" si="6"/>
        <v>1.1068E-4</v>
      </c>
      <c r="X23">
        <f t="shared" si="7"/>
        <v>110.68</v>
      </c>
      <c r="Y23">
        <f t="shared" si="8"/>
        <v>3.86</v>
      </c>
      <c r="Z23">
        <v>57.6</v>
      </c>
    </row>
    <row r="24" spans="2:26" x14ac:dyDescent="0.2">
      <c r="B24" s="1">
        <v>1</v>
      </c>
      <c r="C24" s="1">
        <v>0</v>
      </c>
      <c r="D24" s="1">
        <f t="shared" si="16"/>
        <v>1068</v>
      </c>
      <c r="E24">
        <f t="shared" si="0"/>
        <v>1.4067999999999999E-3</v>
      </c>
      <c r="F24">
        <f t="shared" si="1"/>
        <v>1406.8</v>
      </c>
      <c r="G24">
        <f t="shared" si="2"/>
        <v>30.514285714285716</v>
      </c>
      <c r="H24">
        <v>75.099999999999994</v>
      </c>
      <c r="K24" s="1">
        <v>1</v>
      </c>
      <c r="L24" s="1">
        <v>0</v>
      </c>
      <c r="M24" s="1">
        <f t="shared" si="17"/>
        <v>1068</v>
      </c>
      <c r="N24">
        <f t="shared" si="3"/>
        <v>1.33204E-3</v>
      </c>
      <c r="O24">
        <f t="shared" si="4"/>
        <v>1332.04</v>
      </c>
      <c r="P24">
        <f t="shared" si="5"/>
        <v>5.34</v>
      </c>
      <c r="Q24">
        <v>50.1</v>
      </c>
      <c r="T24" s="1">
        <v>1</v>
      </c>
      <c r="U24" s="1">
        <v>0</v>
      </c>
      <c r="V24" s="1">
        <f t="shared" si="18"/>
        <v>1068</v>
      </c>
      <c r="W24">
        <f t="shared" si="6"/>
        <v>1.3106799999999998E-3</v>
      </c>
      <c r="X24">
        <f t="shared" si="7"/>
        <v>1310.6799999999998</v>
      </c>
      <c r="Y24">
        <f t="shared" si="8"/>
        <v>3.56</v>
      </c>
    </row>
    <row r="25" spans="2:26" x14ac:dyDescent="0.2">
      <c r="B25" s="1">
        <v>1</v>
      </c>
      <c r="C25" s="1">
        <v>1</v>
      </c>
      <c r="D25" s="1">
        <f t="shared" si="16"/>
        <v>1068</v>
      </c>
      <c r="E25">
        <f t="shared" si="0"/>
        <v>1.5068E-3</v>
      </c>
      <c r="F25">
        <f t="shared" si="1"/>
        <v>1506.8</v>
      </c>
      <c r="G25">
        <f t="shared" si="2"/>
        <v>30.814285714285717</v>
      </c>
      <c r="H25">
        <v>73</v>
      </c>
      <c r="K25" s="1">
        <v>1</v>
      </c>
      <c r="L25" s="1">
        <v>1</v>
      </c>
      <c r="M25" s="1">
        <f t="shared" si="17"/>
        <v>1068</v>
      </c>
      <c r="N25">
        <f t="shared" si="3"/>
        <v>1.4320399999999999E-3</v>
      </c>
      <c r="O25">
        <f t="shared" si="4"/>
        <v>1432.04</v>
      </c>
      <c r="P25">
        <f t="shared" si="5"/>
        <v>5.64</v>
      </c>
      <c r="Q25">
        <v>71.3</v>
      </c>
      <c r="T25" s="1">
        <v>1</v>
      </c>
      <c r="U25" s="1">
        <v>1</v>
      </c>
      <c r="V25" s="1">
        <f t="shared" si="18"/>
        <v>1068</v>
      </c>
      <c r="W25">
        <f t="shared" si="6"/>
        <v>1.4106800000000001E-3</v>
      </c>
      <c r="X25">
        <f t="shared" si="7"/>
        <v>1410.68</v>
      </c>
      <c r="Y25">
        <f t="shared" si="8"/>
        <v>3.86</v>
      </c>
    </row>
    <row r="26" spans="2:26" x14ac:dyDescent="0.2">
      <c r="B26" s="1">
        <v>0</v>
      </c>
      <c r="C26" s="1">
        <v>0</v>
      </c>
      <c r="D26" s="1">
        <f>300+1.5*768</f>
        <v>1452</v>
      </c>
      <c r="E26">
        <f t="shared" si="0"/>
        <v>1.4520000000000001E-4</v>
      </c>
      <c r="F26">
        <f t="shared" si="1"/>
        <v>145.20000000000002</v>
      </c>
      <c r="G26">
        <f t="shared" si="2"/>
        <v>41.485714285714288</v>
      </c>
      <c r="H26">
        <v>65.400000000000006</v>
      </c>
      <c r="K26" s="1">
        <v>0</v>
      </c>
      <c r="L26" s="1">
        <v>0</v>
      </c>
      <c r="M26" s="1">
        <f>300+1.5*768</f>
        <v>1452</v>
      </c>
      <c r="N26">
        <f t="shared" si="3"/>
        <v>4.3559999999999996E-5</v>
      </c>
      <c r="O26">
        <f t="shared" si="4"/>
        <v>43.559999999999995</v>
      </c>
      <c r="P26">
        <f t="shared" si="5"/>
        <v>7.26</v>
      </c>
      <c r="Q26">
        <v>49.3</v>
      </c>
      <c r="T26" s="1">
        <v>0</v>
      </c>
      <c r="U26" s="1">
        <v>0</v>
      </c>
      <c r="V26" s="1">
        <f>300+1.5*768</f>
        <v>1452</v>
      </c>
      <c r="W26">
        <f t="shared" si="6"/>
        <v>1.452E-5</v>
      </c>
      <c r="X26">
        <f t="shared" si="7"/>
        <v>14.52</v>
      </c>
      <c r="Y26">
        <f t="shared" si="8"/>
        <v>4.84</v>
      </c>
      <c r="Z26">
        <v>44.6</v>
      </c>
    </row>
    <row r="27" spans="2:26" x14ac:dyDescent="0.2">
      <c r="B27" s="1">
        <v>0</v>
      </c>
      <c r="C27" s="1">
        <v>1</v>
      </c>
      <c r="D27" s="1">
        <f t="shared" ref="D27:D29" si="19">300+1.5*768</f>
        <v>1452</v>
      </c>
      <c r="E27">
        <f t="shared" si="0"/>
        <v>2.452E-4</v>
      </c>
      <c r="F27">
        <f t="shared" si="1"/>
        <v>245.2</v>
      </c>
      <c r="G27">
        <f t="shared" si="2"/>
        <v>41.785714285714285</v>
      </c>
      <c r="H27">
        <v>68.900000000000006</v>
      </c>
      <c r="K27" s="1">
        <v>0</v>
      </c>
      <c r="L27" s="1">
        <v>1</v>
      </c>
      <c r="M27" s="1">
        <f t="shared" ref="M27:M29" si="20">300+1.5*768</f>
        <v>1452</v>
      </c>
      <c r="N27">
        <f t="shared" si="3"/>
        <v>1.4355999999999999E-4</v>
      </c>
      <c r="O27">
        <f t="shared" si="4"/>
        <v>143.55999999999997</v>
      </c>
      <c r="P27">
        <f t="shared" si="5"/>
        <v>7.56</v>
      </c>
      <c r="Q27">
        <v>65.099999999999994</v>
      </c>
      <c r="T27" s="1">
        <v>0</v>
      </c>
      <c r="U27" s="1">
        <v>1</v>
      </c>
      <c r="V27" s="1">
        <f t="shared" ref="V27:V33" si="21">300+1.5*768</f>
        <v>1452</v>
      </c>
      <c r="W27">
        <f t="shared" si="6"/>
        <v>1.1452000000000001E-4</v>
      </c>
      <c r="X27">
        <f t="shared" si="7"/>
        <v>114.52000000000001</v>
      </c>
      <c r="Y27">
        <f t="shared" si="8"/>
        <v>5.14</v>
      </c>
      <c r="Z27">
        <v>60</v>
      </c>
    </row>
    <row r="28" spans="2:26" x14ac:dyDescent="0.2">
      <c r="B28" s="1">
        <v>1</v>
      </c>
      <c r="C28" s="1">
        <v>0</v>
      </c>
      <c r="D28" s="1">
        <f t="shared" si="19"/>
        <v>1452</v>
      </c>
      <c r="E28">
        <f t="shared" si="0"/>
        <v>1.4452E-3</v>
      </c>
      <c r="F28">
        <f t="shared" si="1"/>
        <v>1445.2</v>
      </c>
      <c r="G28">
        <f t="shared" si="2"/>
        <v>41.485714285714288</v>
      </c>
      <c r="H28">
        <v>77.3</v>
      </c>
      <c r="K28" s="1">
        <v>1</v>
      </c>
      <c r="L28" s="1">
        <v>0</v>
      </c>
      <c r="M28" s="1">
        <f t="shared" si="20"/>
        <v>1452</v>
      </c>
      <c r="N28">
        <f t="shared" si="3"/>
        <v>1.3435599999999999E-3</v>
      </c>
      <c r="O28">
        <f t="shared" si="4"/>
        <v>1343.56</v>
      </c>
      <c r="P28">
        <f t="shared" si="5"/>
        <v>7.26</v>
      </c>
      <c r="Q28">
        <v>50.1</v>
      </c>
      <c r="T28" s="1">
        <v>1</v>
      </c>
      <c r="U28" s="1">
        <v>0</v>
      </c>
      <c r="V28" s="1">
        <f t="shared" si="21"/>
        <v>1452</v>
      </c>
      <c r="W28">
        <f t="shared" si="6"/>
        <v>1.31452E-3</v>
      </c>
      <c r="X28">
        <f t="shared" si="7"/>
        <v>1314.52</v>
      </c>
      <c r="Y28">
        <f t="shared" si="8"/>
        <v>4.84</v>
      </c>
    </row>
    <row r="29" spans="2:26" x14ac:dyDescent="0.2">
      <c r="B29" s="1">
        <v>1</v>
      </c>
      <c r="C29" s="1">
        <v>1</v>
      </c>
      <c r="D29" s="1">
        <f t="shared" si="19"/>
        <v>1452</v>
      </c>
      <c r="E29">
        <f t="shared" si="0"/>
        <v>1.5452E-3</v>
      </c>
      <c r="F29">
        <f t="shared" si="1"/>
        <v>1545.2</v>
      </c>
      <c r="G29">
        <f t="shared" si="2"/>
        <v>41.785714285714285</v>
      </c>
      <c r="H29">
        <v>71.599999999999994</v>
      </c>
      <c r="K29" s="1">
        <v>1</v>
      </c>
      <c r="L29" s="1">
        <v>1</v>
      </c>
      <c r="M29" s="1">
        <f t="shared" si="20"/>
        <v>1452</v>
      </c>
      <c r="N29">
        <f t="shared" si="3"/>
        <v>1.44356E-3</v>
      </c>
      <c r="O29">
        <f t="shared" si="4"/>
        <v>1443.56</v>
      </c>
      <c r="P29">
        <f t="shared" si="5"/>
        <v>7.56</v>
      </c>
      <c r="Q29">
        <v>64.5</v>
      </c>
      <c r="T29" s="1">
        <v>1</v>
      </c>
      <c r="U29" s="1">
        <v>1</v>
      </c>
      <c r="V29" s="1">
        <f t="shared" si="21"/>
        <v>1452</v>
      </c>
      <c r="W29">
        <f t="shared" si="6"/>
        <v>1.4145200000000001E-3</v>
      </c>
      <c r="X29">
        <f t="shared" si="7"/>
        <v>1414.52</v>
      </c>
      <c r="Y29">
        <f t="shared" si="8"/>
        <v>5.14</v>
      </c>
    </row>
    <row r="30" spans="2:26" x14ac:dyDescent="0.2">
      <c r="B30" s="1">
        <v>0</v>
      </c>
      <c r="C30" s="1">
        <v>0</v>
      </c>
      <c r="D30" s="1">
        <f>300+1.5*1024</f>
        <v>1836</v>
      </c>
      <c r="E30">
        <f t="shared" si="0"/>
        <v>1.8360000000000002E-4</v>
      </c>
      <c r="F30">
        <f t="shared" si="1"/>
        <v>183.60000000000002</v>
      </c>
      <c r="G30">
        <f t="shared" si="2"/>
        <v>52.457142857142856</v>
      </c>
      <c r="H30">
        <v>66.8</v>
      </c>
      <c r="K30" s="1">
        <v>0</v>
      </c>
      <c r="L30" s="1">
        <v>0</v>
      </c>
      <c r="M30" s="1">
        <f>300+1.5*1024</f>
        <v>1836</v>
      </c>
      <c r="N30">
        <f t="shared" si="3"/>
        <v>5.5079999999999994E-5</v>
      </c>
      <c r="O30">
        <f t="shared" si="4"/>
        <v>55.079999999999991</v>
      </c>
      <c r="P30">
        <f t="shared" si="5"/>
        <v>9.18</v>
      </c>
      <c r="Q30">
        <v>49.1</v>
      </c>
      <c r="T30" s="1">
        <v>0</v>
      </c>
      <c r="U30" s="1">
        <v>0</v>
      </c>
      <c r="V30" s="1">
        <f>300+1.5*1024</f>
        <v>1836</v>
      </c>
      <c r="W30">
        <f t="shared" si="6"/>
        <v>1.836E-5</v>
      </c>
      <c r="X30">
        <f t="shared" si="7"/>
        <v>18.36</v>
      </c>
      <c r="Y30">
        <f t="shared" si="8"/>
        <v>6.12</v>
      </c>
      <c r="Z30">
        <v>46.2</v>
      </c>
    </row>
    <row r="31" spans="2:26" x14ac:dyDescent="0.2">
      <c r="B31" s="1">
        <v>0</v>
      </c>
      <c r="C31" s="1">
        <v>1</v>
      </c>
      <c r="D31" s="1">
        <f t="shared" ref="D31:D33" si="22">300+1.5*1024</f>
        <v>1836</v>
      </c>
      <c r="E31">
        <f t="shared" si="0"/>
        <v>2.8360000000000001E-4</v>
      </c>
      <c r="F31">
        <f t="shared" si="1"/>
        <v>283.60000000000002</v>
      </c>
      <c r="G31">
        <f t="shared" si="2"/>
        <v>52.757142857142853</v>
      </c>
      <c r="H31">
        <v>61.3</v>
      </c>
      <c r="K31" s="1">
        <v>0</v>
      </c>
      <c r="L31" s="1">
        <v>1</v>
      </c>
      <c r="M31" s="1">
        <f t="shared" ref="M31:M33" si="23">300+1.5*1024</f>
        <v>1836</v>
      </c>
      <c r="N31">
        <f t="shared" si="3"/>
        <v>1.5507999999999999E-4</v>
      </c>
      <c r="O31">
        <f t="shared" si="4"/>
        <v>155.07999999999998</v>
      </c>
      <c r="P31">
        <f t="shared" si="5"/>
        <v>9.48</v>
      </c>
      <c r="Q31">
        <v>65.3</v>
      </c>
      <c r="T31" s="1">
        <v>0</v>
      </c>
      <c r="U31" s="1">
        <v>1</v>
      </c>
      <c r="V31" s="1">
        <f t="shared" ref="V31:V33" si="24">300+1.5*1024</f>
        <v>1836</v>
      </c>
      <c r="W31">
        <f t="shared" si="6"/>
        <v>1.1836E-4</v>
      </c>
      <c r="X31">
        <f t="shared" si="7"/>
        <v>118.36</v>
      </c>
      <c r="Y31">
        <f t="shared" si="8"/>
        <v>6.42</v>
      </c>
      <c r="Z31">
        <v>59</v>
      </c>
    </row>
    <row r="32" spans="2:26" x14ac:dyDescent="0.2">
      <c r="B32" s="1">
        <v>1</v>
      </c>
      <c r="C32" s="1">
        <v>0</v>
      </c>
      <c r="D32" s="1">
        <f t="shared" si="22"/>
        <v>1836</v>
      </c>
      <c r="E32">
        <f t="shared" si="0"/>
        <v>1.4835999999999998E-3</v>
      </c>
      <c r="F32">
        <f t="shared" si="1"/>
        <v>1483.6</v>
      </c>
      <c r="G32">
        <f t="shared" si="2"/>
        <v>52.457142857142856</v>
      </c>
      <c r="H32">
        <v>80.099999999999994</v>
      </c>
      <c r="K32" s="1">
        <v>1</v>
      </c>
      <c r="L32" s="1">
        <v>0</v>
      </c>
      <c r="M32" s="1">
        <f t="shared" si="23"/>
        <v>1836</v>
      </c>
      <c r="N32">
        <f t="shared" si="3"/>
        <v>1.3550799999999998E-3</v>
      </c>
      <c r="O32">
        <f t="shared" si="4"/>
        <v>1355.08</v>
      </c>
      <c r="P32">
        <f t="shared" si="5"/>
        <v>9.18</v>
      </c>
      <c r="Q32">
        <v>50.6</v>
      </c>
      <c r="T32" s="1">
        <v>1</v>
      </c>
      <c r="U32" s="1">
        <v>0</v>
      </c>
      <c r="V32" s="1">
        <f t="shared" si="24"/>
        <v>1836</v>
      </c>
      <c r="W32">
        <f t="shared" si="6"/>
        <v>1.31836E-3</v>
      </c>
      <c r="X32">
        <f t="shared" si="7"/>
        <v>1318.36</v>
      </c>
      <c r="Y32">
        <f t="shared" si="8"/>
        <v>6.12</v>
      </c>
    </row>
    <row r="33" spans="2:25" x14ac:dyDescent="0.2">
      <c r="B33" s="1">
        <v>1</v>
      </c>
      <c r="C33" s="1">
        <v>1</v>
      </c>
      <c r="D33" s="1">
        <f t="shared" si="22"/>
        <v>1836</v>
      </c>
      <c r="E33">
        <f t="shared" si="0"/>
        <v>1.5836000000000001E-3</v>
      </c>
      <c r="F33">
        <f t="shared" si="1"/>
        <v>1583.6000000000001</v>
      </c>
      <c r="G33">
        <f t="shared" si="2"/>
        <v>52.757142857142853</v>
      </c>
      <c r="H33">
        <v>70.099999999999994</v>
      </c>
      <c r="K33" s="1">
        <v>1</v>
      </c>
      <c r="L33" s="1">
        <v>1</v>
      </c>
      <c r="M33" s="1">
        <f t="shared" si="23"/>
        <v>1836</v>
      </c>
      <c r="N33">
        <f t="shared" si="3"/>
        <v>1.4550800000000001E-3</v>
      </c>
      <c r="O33">
        <f t="shared" si="4"/>
        <v>1455.0800000000002</v>
      </c>
      <c r="P33">
        <f t="shared" si="5"/>
        <v>9.48</v>
      </c>
      <c r="Q33">
        <v>63.8</v>
      </c>
      <c r="T33" s="1">
        <v>1</v>
      </c>
      <c r="U33" s="1">
        <v>1</v>
      </c>
      <c r="V33" s="1">
        <f t="shared" si="24"/>
        <v>1836</v>
      </c>
      <c r="W33">
        <f t="shared" si="6"/>
        <v>1.41836E-3</v>
      </c>
      <c r="X33">
        <f t="shared" si="7"/>
        <v>1418.3600000000001</v>
      </c>
      <c r="Y33">
        <f t="shared" si="8"/>
        <v>6.42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68D5-BAA4-7244-8EC2-FBCFFEB93AC7}">
  <dimension ref="A1:H97"/>
  <sheetViews>
    <sheetView workbookViewId="0">
      <selection activeCell="J20" sqref="J20"/>
    </sheetView>
  </sheetViews>
  <sheetFormatPr baseColWidth="10" defaultRowHeight="16" x14ac:dyDescent="0.2"/>
  <sheetData>
    <row r="1" spans="1:8" x14ac:dyDescent="0.2">
      <c r="A1" t="s">
        <v>9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8</v>
      </c>
    </row>
    <row r="2" spans="1:8" x14ac:dyDescent="0.2">
      <c r="A2">
        <v>27</v>
      </c>
      <c r="B2">
        <v>0</v>
      </c>
      <c r="C2">
        <v>0</v>
      </c>
      <c r="D2">
        <v>120</v>
      </c>
      <c r="E2">
        <f>(B2*0.0013) + (C2*0.0001) + ((D2/1000000) * 0.1)</f>
        <v>1.2E-5</v>
      </c>
      <c r="F2">
        <f>E2*1000000</f>
        <v>12</v>
      </c>
      <c r="G2">
        <f>(C2*0.3) + (D2/35)</f>
        <v>3.4285714285714284</v>
      </c>
      <c r="H2">
        <v>55.3</v>
      </c>
    </row>
    <row r="3" spans="1:8" x14ac:dyDescent="0.2">
      <c r="A3">
        <v>27</v>
      </c>
      <c r="B3">
        <v>0</v>
      </c>
      <c r="C3">
        <v>1</v>
      </c>
      <c r="D3">
        <v>120</v>
      </c>
      <c r="E3">
        <f t="shared" ref="E3:E33" si="0">(B3*0.0013) + (C3*0.0001) + ((D3/1000000) * 0.1)</f>
        <v>1.1200000000000001E-4</v>
      </c>
      <c r="F3">
        <f t="shared" ref="F3:F33" si="1">E3*1000000</f>
        <v>112.00000000000001</v>
      </c>
      <c r="G3">
        <f t="shared" ref="G3:G33" si="2">(C3*0.3) + (D3/35)</f>
        <v>3.7285714285714282</v>
      </c>
      <c r="H3">
        <v>60</v>
      </c>
    </row>
    <row r="4" spans="1:8" x14ac:dyDescent="0.2">
      <c r="A4">
        <v>27</v>
      </c>
      <c r="B4">
        <v>1</v>
      </c>
      <c r="C4">
        <v>0</v>
      </c>
      <c r="D4">
        <v>120</v>
      </c>
      <c r="E4">
        <f t="shared" si="0"/>
        <v>1.312E-3</v>
      </c>
      <c r="F4">
        <f t="shared" si="1"/>
        <v>1312</v>
      </c>
      <c r="G4">
        <f t="shared" si="2"/>
        <v>3.4285714285714284</v>
      </c>
      <c r="H4">
        <v>59.9</v>
      </c>
    </row>
    <row r="5" spans="1:8" x14ac:dyDescent="0.2">
      <c r="A5">
        <v>27</v>
      </c>
      <c r="B5">
        <v>1</v>
      </c>
      <c r="C5">
        <v>1</v>
      </c>
      <c r="D5">
        <v>120</v>
      </c>
      <c r="E5">
        <f t="shared" si="0"/>
        <v>1.4120000000000001E-3</v>
      </c>
      <c r="F5">
        <f t="shared" si="1"/>
        <v>1412</v>
      </c>
      <c r="G5">
        <f t="shared" si="2"/>
        <v>3.7285714285714282</v>
      </c>
      <c r="H5">
        <v>74.7</v>
      </c>
    </row>
    <row r="6" spans="1:8" x14ac:dyDescent="0.2">
      <c r="A6">
        <v>27</v>
      </c>
      <c r="B6">
        <v>0</v>
      </c>
      <c r="C6">
        <v>0</v>
      </c>
      <c r="D6">
        <v>300</v>
      </c>
      <c r="E6">
        <f t="shared" si="0"/>
        <v>2.9999999999999997E-5</v>
      </c>
      <c r="F6">
        <f t="shared" si="1"/>
        <v>29.999999999999996</v>
      </c>
      <c r="G6">
        <f t="shared" si="2"/>
        <v>8.5714285714285712</v>
      </c>
      <c r="H6">
        <v>58.4</v>
      </c>
    </row>
    <row r="7" spans="1:8" x14ac:dyDescent="0.2">
      <c r="A7">
        <v>27</v>
      </c>
      <c r="B7">
        <v>0</v>
      </c>
      <c r="C7">
        <v>1</v>
      </c>
      <c r="D7">
        <v>300</v>
      </c>
      <c r="E7">
        <f t="shared" si="0"/>
        <v>1.3000000000000002E-4</v>
      </c>
      <c r="F7">
        <f t="shared" si="1"/>
        <v>130.00000000000003</v>
      </c>
      <c r="G7">
        <f t="shared" si="2"/>
        <v>8.8714285714285719</v>
      </c>
      <c r="H7">
        <v>68.400000000000006</v>
      </c>
    </row>
    <row r="8" spans="1:8" x14ac:dyDescent="0.2">
      <c r="A8">
        <v>27</v>
      </c>
      <c r="B8">
        <v>1</v>
      </c>
      <c r="C8">
        <v>0</v>
      </c>
      <c r="D8">
        <v>300</v>
      </c>
      <c r="E8">
        <f t="shared" si="0"/>
        <v>1.33E-3</v>
      </c>
      <c r="F8">
        <f t="shared" si="1"/>
        <v>1330</v>
      </c>
      <c r="G8">
        <f t="shared" si="2"/>
        <v>8.5714285714285712</v>
      </c>
      <c r="H8">
        <v>61.7</v>
      </c>
    </row>
    <row r="9" spans="1:8" x14ac:dyDescent="0.2">
      <c r="A9">
        <v>27</v>
      </c>
      <c r="B9">
        <v>1</v>
      </c>
      <c r="C9">
        <v>1</v>
      </c>
      <c r="D9">
        <v>300</v>
      </c>
      <c r="E9">
        <f t="shared" si="0"/>
        <v>1.4300000000000001E-3</v>
      </c>
      <c r="F9">
        <f t="shared" si="1"/>
        <v>1430</v>
      </c>
      <c r="G9">
        <f t="shared" si="2"/>
        <v>8.8714285714285719</v>
      </c>
      <c r="H9">
        <v>77.400000000000006</v>
      </c>
    </row>
    <row r="10" spans="1:8" x14ac:dyDescent="0.2">
      <c r="A10">
        <v>27</v>
      </c>
      <c r="B10">
        <v>0</v>
      </c>
      <c r="C10">
        <v>0</v>
      </c>
      <c r="D10">
        <v>1500</v>
      </c>
      <c r="E10">
        <f t="shared" si="0"/>
        <v>1.5000000000000001E-4</v>
      </c>
      <c r="F10">
        <f t="shared" si="1"/>
        <v>150</v>
      </c>
      <c r="G10">
        <f>(C10*0.3) + (D10/35/5)</f>
        <v>8.5714285714285712</v>
      </c>
      <c r="H10">
        <v>61.2</v>
      </c>
    </row>
    <row r="11" spans="1:8" x14ac:dyDescent="0.2">
      <c r="A11">
        <v>27</v>
      </c>
      <c r="B11">
        <v>0</v>
      </c>
      <c r="C11">
        <v>1</v>
      </c>
      <c r="D11">
        <v>1500</v>
      </c>
      <c r="E11">
        <f t="shared" si="0"/>
        <v>2.5000000000000001E-4</v>
      </c>
      <c r="F11">
        <f t="shared" si="1"/>
        <v>250</v>
      </c>
      <c r="G11">
        <f t="shared" ref="G11:G13" si="3">(C11*0.3) + (D11/35/5)</f>
        <v>8.8714285714285719</v>
      </c>
      <c r="H11">
        <v>70.099999999999994</v>
      </c>
    </row>
    <row r="12" spans="1:8" x14ac:dyDescent="0.2">
      <c r="A12">
        <v>27</v>
      </c>
      <c r="B12">
        <v>1</v>
      </c>
      <c r="C12">
        <v>0</v>
      </c>
      <c r="D12">
        <v>1500</v>
      </c>
      <c r="E12">
        <f t="shared" si="0"/>
        <v>1.4499999999999999E-3</v>
      </c>
      <c r="F12">
        <f t="shared" si="1"/>
        <v>1450</v>
      </c>
      <c r="G12">
        <f t="shared" si="3"/>
        <v>8.5714285714285712</v>
      </c>
      <c r="H12">
        <v>76.8</v>
      </c>
    </row>
    <row r="13" spans="1:8" x14ac:dyDescent="0.2">
      <c r="A13">
        <v>27</v>
      </c>
      <c r="B13">
        <v>1</v>
      </c>
      <c r="C13">
        <v>1</v>
      </c>
      <c r="D13">
        <v>1500</v>
      </c>
      <c r="E13">
        <f t="shared" si="0"/>
        <v>1.5499999999999999E-3</v>
      </c>
      <c r="F13">
        <f t="shared" si="1"/>
        <v>1550</v>
      </c>
      <c r="G13">
        <f t="shared" si="3"/>
        <v>8.8714285714285719</v>
      </c>
      <c r="H13">
        <v>75.2</v>
      </c>
    </row>
    <row r="14" spans="1:8" x14ac:dyDescent="0.2">
      <c r="A14">
        <v>27</v>
      </c>
      <c r="B14" s="1">
        <v>0</v>
      </c>
      <c r="C14" s="1">
        <v>0</v>
      </c>
      <c r="D14" s="1">
        <f>300 + 1.5*128</f>
        <v>492</v>
      </c>
      <c r="E14">
        <f t="shared" si="0"/>
        <v>4.9200000000000003E-5</v>
      </c>
      <c r="F14">
        <f t="shared" si="1"/>
        <v>49.2</v>
      </c>
      <c r="G14">
        <f t="shared" si="2"/>
        <v>14.057142857142857</v>
      </c>
      <c r="H14">
        <v>62.1</v>
      </c>
    </row>
    <row r="15" spans="1:8" x14ac:dyDescent="0.2">
      <c r="A15">
        <v>27</v>
      </c>
      <c r="B15" s="1">
        <v>0</v>
      </c>
      <c r="C15" s="1">
        <v>1</v>
      </c>
      <c r="D15" s="1">
        <f t="shared" ref="D15:D17" si="4">300 + 1.5*128</f>
        <v>492</v>
      </c>
      <c r="E15">
        <f t="shared" si="0"/>
        <v>1.4919999999999999E-4</v>
      </c>
      <c r="F15">
        <f t="shared" si="1"/>
        <v>149.19999999999999</v>
      </c>
      <c r="G15">
        <f t="shared" si="2"/>
        <v>14.357142857142858</v>
      </c>
      <c r="H15">
        <v>72.099999999999994</v>
      </c>
    </row>
    <row r="16" spans="1:8" x14ac:dyDescent="0.2">
      <c r="A16">
        <v>27</v>
      </c>
      <c r="B16" s="1">
        <v>1</v>
      </c>
      <c r="C16" s="1">
        <v>0</v>
      </c>
      <c r="D16" s="1">
        <f t="shared" si="4"/>
        <v>492</v>
      </c>
      <c r="E16">
        <f t="shared" si="0"/>
        <v>1.3492000000000001E-3</v>
      </c>
      <c r="F16">
        <f t="shared" si="1"/>
        <v>1349.2</v>
      </c>
      <c r="G16">
        <f t="shared" si="2"/>
        <v>14.057142857142857</v>
      </c>
      <c r="H16">
        <v>58.1</v>
      </c>
    </row>
    <row r="17" spans="1:8" x14ac:dyDescent="0.2">
      <c r="A17">
        <v>27</v>
      </c>
      <c r="B17" s="1">
        <v>1</v>
      </c>
      <c r="C17" s="1">
        <v>1</v>
      </c>
      <c r="D17" s="1">
        <f t="shared" si="4"/>
        <v>492</v>
      </c>
      <c r="E17">
        <f t="shared" si="0"/>
        <v>1.4491999999999999E-3</v>
      </c>
      <c r="F17">
        <f t="shared" si="1"/>
        <v>1449.1999999999998</v>
      </c>
      <c r="G17">
        <f t="shared" si="2"/>
        <v>14.357142857142858</v>
      </c>
      <c r="H17">
        <v>76.099999999999994</v>
      </c>
    </row>
    <row r="18" spans="1:8" x14ac:dyDescent="0.2">
      <c r="A18">
        <v>27</v>
      </c>
      <c r="B18" s="1">
        <v>0</v>
      </c>
      <c r="C18" s="1">
        <v>0</v>
      </c>
      <c r="D18" s="1">
        <f>300+1.5*256</f>
        <v>684</v>
      </c>
      <c r="E18">
        <f t="shared" si="0"/>
        <v>6.8400000000000009E-5</v>
      </c>
      <c r="F18">
        <f t="shared" si="1"/>
        <v>68.400000000000006</v>
      </c>
      <c r="G18">
        <f t="shared" si="2"/>
        <v>19.542857142857144</v>
      </c>
      <c r="H18">
        <v>63.8</v>
      </c>
    </row>
    <row r="19" spans="1:8" x14ac:dyDescent="0.2">
      <c r="A19">
        <v>27</v>
      </c>
      <c r="B19" s="1">
        <v>0</v>
      </c>
      <c r="C19" s="1">
        <v>1</v>
      </c>
      <c r="D19" s="1">
        <f t="shared" ref="D19:D21" si="5">300+1.5*256</f>
        <v>684</v>
      </c>
      <c r="E19">
        <f t="shared" si="0"/>
        <v>1.6840000000000003E-4</v>
      </c>
      <c r="F19">
        <f t="shared" si="1"/>
        <v>168.40000000000003</v>
      </c>
      <c r="G19">
        <f t="shared" si="2"/>
        <v>19.842857142857145</v>
      </c>
      <c r="H19">
        <v>72.2</v>
      </c>
    </row>
    <row r="20" spans="1:8" x14ac:dyDescent="0.2">
      <c r="A20">
        <v>27</v>
      </c>
      <c r="B20" s="1">
        <v>1</v>
      </c>
      <c r="C20" s="1">
        <v>0</v>
      </c>
      <c r="D20" s="1">
        <f t="shared" si="5"/>
        <v>684</v>
      </c>
      <c r="E20">
        <f t="shared" si="0"/>
        <v>1.3683999999999999E-3</v>
      </c>
      <c r="F20">
        <f t="shared" si="1"/>
        <v>1368.3999999999999</v>
      </c>
      <c r="G20">
        <f t="shared" si="2"/>
        <v>19.542857142857144</v>
      </c>
      <c r="H20">
        <v>65.099999999999994</v>
      </c>
    </row>
    <row r="21" spans="1:8" x14ac:dyDescent="0.2">
      <c r="A21">
        <v>27</v>
      </c>
      <c r="B21" s="1">
        <v>1</v>
      </c>
      <c r="C21" s="1">
        <v>1</v>
      </c>
      <c r="D21" s="1">
        <f t="shared" si="5"/>
        <v>684</v>
      </c>
      <c r="E21">
        <f t="shared" si="0"/>
        <v>1.4683999999999999E-3</v>
      </c>
      <c r="F21">
        <f t="shared" si="1"/>
        <v>1468.3999999999999</v>
      </c>
      <c r="G21">
        <f t="shared" si="2"/>
        <v>19.842857142857145</v>
      </c>
      <c r="H21">
        <v>74.400000000000006</v>
      </c>
    </row>
    <row r="22" spans="1:8" x14ac:dyDescent="0.2">
      <c r="A22">
        <v>27</v>
      </c>
      <c r="B22" s="1">
        <v>0</v>
      </c>
      <c r="C22" s="1">
        <v>0</v>
      </c>
      <c r="D22" s="1">
        <f>300+1.5*512</f>
        <v>1068</v>
      </c>
      <c r="E22">
        <f t="shared" si="0"/>
        <v>1.0679999999999999E-4</v>
      </c>
      <c r="F22">
        <f t="shared" si="1"/>
        <v>106.8</v>
      </c>
      <c r="G22">
        <f t="shared" si="2"/>
        <v>30.514285714285716</v>
      </c>
      <c r="H22">
        <v>64.2</v>
      </c>
    </row>
    <row r="23" spans="1:8" x14ac:dyDescent="0.2">
      <c r="A23">
        <v>27</v>
      </c>
      <c r="B23" s="1">
        <v>0</v>
      </c>
      <c r="C23" s="1">
        <v>1</v>
      </c>
      <c r="D23" s="1">
        <f t="shared" ref="D23:D25" si="6">300+1.5*512</f>
        <v>1068</v>
      </c>
      <c r="E23">
        <f t="shared" si="0"/>
        <v>2.0679999999999999E-4</v>
      </c>
      <c r="F23">
        <f t="shared" si="1"/>
        <v>206.79999999999998</v>
      </c>
      <c r="G23">
        <f t="shared" si="2"/>
        <v>30.814285714285717</v>
      </c>
      <c r="H23">
        <v>71.099999999999994</v>
      </c>
    </row>
    <row r="24" spans="1:8" x14ac:dyDescent="0.2">
      <c r="A24">
        <v>27</v>
      </c>
      <c r="B24" s="1">
        <v>1</v>
      </c>
      <c r="C24" s="1">
        <v>0</v>
      </c>
      <c r="D24" s="1">
        <f t="shared" si="6"/>
        <v>1068</v>
      </c>
      <c r="E24">
        <f t="shared" si="0"/>
        <v>1.4067999999999999E-3</v>
      </c>
      <c r="F24">
        <f t="shared" si="1"/>
        <v>1406.8</v>
      </c>
      <c r="G24">
        <f t="shared" si="2"/>
        <v>30.514285714285716</v>
      </c>
      <c r="H24">
        <v>75.099999999999994</v>
      </c>
    </row>
    <row r="25" spans="1:8" x14ac:dyDescent="0.2">
      <c r="A25">
        <v>27</v>
      </c>
      <c r="B25" s="1">
        <v>1</v>
      </c>
      <c r="C25" s="1">
        <v>1</v>
      </c>
      <c r="D25" s="1">
        <f t="shared" si="6"/>
        <v>1068</v>
      </c>
      <c r="E25">
        <f t="shared" si="0"/>
        <v>1.5068E-3</v>
      </c>
      <c r="F25">
        <f t="shared" si="1"/>
        <v>1506.8</v>
      </c>
      <c r="G25">
        <f t="shared" si="2"/>
        <v>30.814285714285717</v>
      </c>
      <c r="H25">
        <v>73</v>
      </c>
    </row>
    <row r="26" spans="1:8" x14ac:dyDescent="0.2">
      <c r="A26">
        <v>27</v>
      </c>
      <c r="B26" s="1">
        <v>0</v>
      </c>
      <c r="C26" s="1">
        <v>0</v>
      </c>
      <c r="D26" s="1">
        <f>300+1.5*768</f>
        <v>1452</v>
      </c>
      <c r="E26">
        <f t="shared" si="0"/>
        <v>1.4520000000000001E-4</v>
      </c>
      <c r="F26">
        <f t="shared" si="1"/>
        <v>145.20000000000002</v>
      </c>
      <c r="G26">
        <f t="shared" si="2"/>
        <v>41.485714285714288</v>
      </c>
      <c r="H26">
        <v>65.400000000000006</v>
      </c>
    </row>
    <row r="27" spans="1:8" x14ac:dyDescent="0.2">
      <c r="A27">
        <v>27</v>
      </c>
      <c r="B27" s="1">
        <v>0</v>
      </c>
      <c r="C27" s="1">
        <v>1</v>
      </c>
      <c r="D27" s="1">
        <f t="shared" ref="D27:D29" si="7">300+1.5*768</f>
        <v>1452</v>
      </c>
      <c r="E27">
        <f t="shared" si="0"/>
        <v>2.452E-4</v>
      </c>
      <c r="F27">
        <f t="shared" si="1"/>
        <v>245.2</v>
      </c>
      <c r="G27">
        <f t="shared" si="2"/>
        <v>41.785714285714285</v>
      </c>
      <c r="H27">
        <v>68.900000000000006</v>
      </c>
    </row>
    <row r="28" spans="1:8" x14ac:dyDescent="0.2">
      <c r="A28">
        <v>27</v>
      </c>
      <c r="B28" s="1">
        <v>1</v>
      </c>
      <c r="C28" s="1">
        <v>0</v>
      </c>
      <c r="D28" s="1">
        <f t="shared" si="7"/>
        <v>1452</v>
      </c>
      <c r="E28">
        <f t="shared" si="0"/>
        <v>1.4452E-3</v>
      </c>
      <c r="F28">
        <f t="shared" si="1"/>
        <v>1445.2</v>
      </c>
      <c r="G28">
        <f t="shared" si="2"/>
        <v>41.485714285714288</v>
      </c>
      <c r="H28">
        <v>77.3</v>
      </c>
    </row>
    <row r="29" spans="1:8" x14ac:dyDescent="0.2">
      <c r="A29">
        <v>27</v>
      </c>
      <c r="B29" s="1">
        <v>1</v>
      </c>
      <c r="C29" s="1">
        <v>1</v>
      </c>
      <c r="D29" s="1">
        <f t="shared" si="7"/>
        <v>1452</v>
      </c>
      <c r="E29">
        <f t="shared" si="0"/>
        <v>1.5452E-3</v>
      </c>
      <c r="F29">
        <f t="shared" si="1"/>
        <v>1545.2</v>
      </c>
      <c r="G29">
        <f t="shared" si="2"/>
        <v>41.785714285714285</v>
      </c>
      <c r="H29">
        <v>71.599999999999994</v>
      </c>
    </row>
    <row r="30" spans="1:8" x14ac:dyDescent="0.2">
      <c r="A30">
        <v>27</v>
      </c>
      <c r="B30" s="1">
        <v>0</v>
      </c>
      <c r="C30" s="1">
        <v>0</v>
      </c>
      <c r="D30" s="1">
        <f>300+1.5*1024</f>
        <v>1836</v>
      </c>
      <c r="E30">
        <f t="shared" si="0"/>
        <v>1.8360000000000002E-4</v>
      </c>
      <c r="F30">
        <f t="shared" si="1"/>
        <v>183.60000000000002</v>
      </c>
      <c r="G30">
        <f t="shared" si="2"/>
        <v>52.457142857142856</v>
      </c>
      <c r="H30">
        <v>66.8</v>
      </c>
    </row>
    <row r="31" spans="1:8" x14ac:dyDescent="0.2">
      <c r="A31">
        <v>27</v>
      </c>
      <c r="B31" s="1">
        <v>0</v>
      </c>
      <c r="C31" s="1">
        <v>1</v>
      </c>
      <c r="D31" s="1">
        <f t="shared" ref="D31:D33" si="8">300+1.5*1024</f>
        <v>1836</v>
      </c>
      <c r="E31">
        <f t="shared" si="0"/>
        <v>2.8360000000000001E-4</v>
      </c>
      <c r="F31">
        <f t="shared" si="1"/>
        <v>283.60000000000002</v>
      </c>
      <c r="G31">
        <f t="shared" si="2"/>
        <v>52.757142857142853</v>
      </c>
      <c r="H31">
        <v>61.3</v>
      </c>
    </row>
    <row r="32" spans="1:8" x14ac:dyDescent="0.2">
      <c r="A32">
        <v>27</v>
      </c>
      <c r="B32" s="1">
        <v>1</v>
      </c>
      <c r="C32" s="1">
        <v>0</v>
      </c>
      <c r="D32" s="1">
        <f t="shared" si="8"/>
        <v>1836</v>
      </c>
      <c r="E32">
        <f t="shared" si="0"/>
        <v>1.4835999999999998E-3</v>
      </c>
      <c r="F32">
        <f t="shared" si="1"/>
        <v>1483.6</v>
      </c>
      <c r="G32">
        <f t="shared" si="2"/>
        <v>52.457142857142856</v>
      </c>
      <c r="H32">
        <v>80.099999999999994</v>
      </c>
    </row>
    <row r="33" spans="1:8" x14ac:dyDescent="0.2">
      <c r="A33">
        <v>27</v>
      </c>
      <c r="B33" s="1">
        <v>1</v>
      </c>
      <c r="C33" s="1">
        <v>1</v>
      </c>
      <c r="D33" s="1">
        <f t="shared" si="8"/>
        <v>1836</v>
      </c>
      <c r="E33">
        <f t="shared" si="0"/>
        <v>1.5836000000000001E-3</v>
      </c>
      <c r="F33">
        <f t="shared" si="1"/>
        <v>1583.6000000000001</v>
      </c>
      <c r="G33">
        <f t="shared" si="2"/>
        <v>52.757142857142853</v>
      </c>
      <c r="H33">
        <v>70.099999999999994</v>
      </c>
    </row>
    <row r="34" spans="1:8" x14ac:dyDescent="0.2">
      <c r="A34">
        <v>4</v>
      </c>
      <c r="B34">
        <v>0</v>
      </c>
      <c r="C34">
        <v>0</v>
      </c>
      <c r="D34">
        <v>120</v>
      </c>
      <c r="E34">
        <f>(B34*0.0013) + (C34*0.0001) + ((D34/1000000) * 0.03)</f>
        <v>3.5999999999999998E-6</v>
      </c>
      <c r="F34">
        <f>E34*1000000</f>
        <v>3.5999999999999996</v>
      </c>
      <c r="G34">
        <f>(C34*0.3) + (D34/200)</f>
        <v>0.6</v>
      </c>
      <c r="H34">
        <v>44.1</v>
      </c>
    </row>
    <row r="35" spans="1:8" x14ac:dyDescent="0.2">
      <c r="A35">
        <v>4</v>
      </c>
      <c r="B35">
        <v>0</v>
      </c>
      <c r="C35">
        <v>1</v>
      </c>
      <c r="D35">
        <v>120</v>
      </c>
      <c r="E35">
        <f t="shared" ref="E35:E65" si="9">(B35*0.0013) + (C35*0.0001) + ((D35/1000000) * 0.03)</f>
        <v>1.0360000000000001E-4</v>
      </c>
      <c r="F35">
        <f t="shared" ref="F35:F65" si="10">E35*1000000</f>
        <v>103.60000000000001</v>
      </c>
      <c r="G35">
        <f t="shared" ref="G35:G65" si="11">(C35*0.3) + (D35/200)</f>
        <v>0.89999999999999991</v>
      </c>
      <c r="H35">
        <v>60.3</v>
      </c>
    </row>
    <row r="36" spans="1:8" x14ac:dyDescent="0.2">
      <c r="A36">
        <v>4</v>
      </c>
      <c r="B36">
        <v>1</v>
      </c>
      <c r="C36">
        <v>0</v>
      </c>
      <c r="D36">
        <v>120</v>
      </c>
      <c r="E36">
        <f t="shared" si="9"/>
        <v>1.3036E-3</v>
      </c>
      <c r="F36">
        <f t="shared" si="10"/>
        <v>1303.6000000000001</v>
      </c>
      <c r="G36">
        <f t="shared" si="11"/>
        <v>0.6</v>
      </c>
      <c r="H36">
        <v>47.2</v>
      </c>
    </row>
    <row r="37" spans="1:8" x14ac:dyDescent="0.2">
      <c r="A37">
        <v>4</v>
      </c>
      <c r="B37">
        <v>1</v>
      </c>
      <c r="C37">
        <v>1</v>
      </c>
      <c r="D37">
        <v>120</v>
      </c>
      <c r="E37">
        <f t="shared" si="9"/>
        <v>1.4036000000000001E-3</v>
      </c>
      <c r="F37">
        <f t="shared" si="10"/>
        <v>1403.6000000000001</v>
      </c>
      <c r="G37">
        <f t="shared" si="11"/>
        <v>0.89999999999999991</v>
      </c>
      <c r="H37">
        <v>73.099999999999994</v>
      </c>
    </row>
    <row r="38" spans="1:8" x14ac:dyDescent="0.2">
      <c r="A38">
        <v>4</v>
      </c>
      <c r="B38">
        <v>0</v>
      </c>
      <c r="C38">
        <v>0</v>
      </c>
      <c r="D38">
        <v>300</v>
      </c>
      <c r="E38">
        <f t="shared" si="9"/>
        <v>8.9999999999999985E-6</v>
      </c>
      <c r="F38">
        <f t="shared" si="10"/>
        <v>8.9999999999999982</v>
      </c>
      <c r="G38">
        <f t="shared" si="11"/>
        <v>1.5</v>
      </c>
      <c r="H38">
        <v>40.200000000000003</v>
      </c>
    </row>
    <row r="39" spans="1:8" x14ac:dyDescent="0.2">
      <c r="A39">
        <v>4</v>
      </c>
      <c r="B39">
        <v>0</v>
      </c>
      <c r="C39">
        <v>1</v>
      </c>
      <c r="D39">
        <v>300</v>
      </c>
      <c r="E39">
        <f t="shared" si="9"/>
        <v>1.0900000000000001E-4</v>
      </c>
      <c r="F39">
        <f t="shared" si="10"/>
        <v>109</v>
      </c>
      <c r="G39">
        <f t="shared" si="11"/>
        <v>1.8</v>
      </c>
      <c r="H39">
        <v>64.7</v>
      </c>
    </row>
    <row r="40" spans="1:8" x14ac:dyDescent="0.2">
      <c r="A40">
        <v>4</v>
      </c>
      <c r="B40">
        <v>1</v>
      </c>
      <c r="C40">
        <v>0</v>
      </c>
      <c r="D40">
        <v>300</v>
      </c>
      <c r="E40">
        <f t="shared" si="9"/>
        <v>1.3089999999999998E-3</v>
      </c>
      <c r="F40">
        <f t="shared" si="10"/>
        <v>1308.9999999999998</v>
      </c>
      <c r="G40">
        <f t="shared" si="11"/>
        <v>1.5</v>
      </c>
      <c r="H40">
        <v>46.6</v>
      </c>
    </row>
    <row r="41" spans="1:8" x14ac:dyDescent="0.2">
      <c r="A41">
        <v>4</v>
      </c>
      <c r="B41">
        <v>1</v>
      </c>
      <c r="C41">
        <v>1</v>
      </c>
      <c r="D41">
        <v>300</v>
      </c>
      <c r="E41">
        <f t="shared" si="9"/>
        <v>1.4089999999999999E-3</v>
      </c>
      <c r="F41">
        <f t="shared" si="10"/>
        <v>1408.9999999999998</v>
      </c>
      <c r="G41">
        <f t="shared" si="11"/>
        <v>1.8</v>
      </c>
      <c r="H41">
        <v>56.2</v>
      </c>
    </row>
    <row r="42" spans="1:8" x14ac:dyDescent="0.2">
      <c r="A42">
        <v>4</v>
      </c>
      <c r="B42">
        <v>0</v>
      </c>
      <c r="C42">
        <v>0</v>
      </c>
      <c r="D42">
        <v>1500</v>
      </c>
      <c r="E42">
        <f t="shared" si="9"/>
        <v>4.4999999999999996E-5</v>
      </c>
      <c r="F42">
        <f t="shared" si="10"/>
        <v>44.999999999999993</v>
      </c>
      <c r="G42">
        <f t="shared" si="11"/>
        <v>7.5</v>
      </c>
      <c r="H42">
        <v>41.7</v>
      </c>
    </row>
    <row r="43" spans="1:8" x14ac:dyDescent="0.2">
      <c r="A43">
        <v>4</v>
      </c>
      <c r="B43">
        <v>0</v>
      </c>
      <c r="C43">
        <v>1</v>
      </c>
      <c r="D43">
        <v>1500</v>
      </c>
      <c r="E43">
        <f t="shared" si="9"/>
        <v>1.45E-4</v>
      </c>
      <c r="F43">
        <f t="shared" si="10"/>
        <v>145</v>
      </c>
      <c r="G43">
        <f t="shared" si="11"/>
        <v>7.8</v>
      </c>
      <c r="H43">
        <v>70.099999999999994</v>
      </c>
    </row>
    <row r="44" spans="1:8" x14ac:dyDescent="0.2">
      <c r="A44">
        <v>4</v>
      </c>
      <c r="B44">
        <v>1</v>
      </c>
      <c r="C44">
        <v>0</v>
      </c>
      <c r="D44">
        <v>1500</v>
      </c>
      <c r="E44">
        <f t="shared" si="9"/>
        <v>1.3449999999999998E-3</v>
      </c>
      <c r="F44">
        <f t="shared" si="10"/>
        <v>1344.9999999999998</v>
      </c>
      <c r="G44">
        <f t="shared" si="11"/>
        <v>7.5</v>
      </c>
      <c r="H44">
        <v>49.2</v>
      </c>
    </row>
    <row r="45" spans="1:8" x14ac:dyDescent="0.2">
      <c r="A45">
        <v>4</v>
      </c>
      <c r="B45">
        <v>1</v>
      </c>
      <c r="C45">
        <v>1</v>
      </c>
      <c r="D45">
        <v>1500</v>
      </c>
      <c r="E45">
        <f t="shared" si="9"/>
        <v>1.4449999999999999E-3</v>
      </c>
      <c r="F45">
        <f t="shared" si="10"/>
        <v>1445</v>
      </c>
      <c r="G45">
        <f t="shared" si="11"/>
        <v>7.8</v>
      </c>
      <c r="H45">
        <v>74.3</v>
      </c>
    </row>
    <row r="46" spans="1:8" x14ac:dyDescent="0.2">
      <c r="A46">
        <v>4</v>
      </c>
      <c r="B46" s="1">
        <v>0</v>
      </c>
      <c r="C46" s="1">
        <v>0</v>
      </c>
      <c r="D46" s="1">
        <f>300 + 1.5*128</f>
        <v>492</v>
      </c>
      <c r="E46">
        <f t="shared" si="9"/>
        <v>1.4760000000000001E-5</v>
      </c>
      <c r="F46">
        <f t="shared" si="10"/>
        <v>14.760000000000002</v>
      </c>
      <c r="G46">
        <f t="shared" si="11"/>
        <v>2.46</v>
      </c>
      <c r="H46">
        <v>45.5</v>
      </c>
    </row>
    <row r="47" spans="1:8" x14ac:dyDescent="0.2">
      <c r="A47">
        <v>4</v>
      </c>
      <c r="B47" s="1">
        <v>0</v>
      </c>
      <c r="C47" s="1">
        <v>1</v>
      </c>
      <c r="D47" s="1">
        <f t="shared" ref="D47:D49" si="12">300 + 1.5*128</f>
        <v>492</v>
      </c>
      <c r="E47">
        <f t="shared" si="9"/>
        <v>1.1476000000000001E-4</v>
      </c>
      <c r="F47">
        <f t="shared" si="10"/>
        <v>114.76</v>
      </c>
      <c r="G47">
        <f t="shared" si="11"/>
        <v>2.76</v>
      </c>
      <c r="H47">
        <v>76</v>
      </c>
    </row>
    <row r="48" spans="1:8" x14ac:dyDescent="0.2">
      <c r="A48">
        <v>4</v>
      </c>
      <c r="B48" s="1">
        <v>1</v>
      </c>
      <c r="C48" s="1">
        <v>0</v>
      </c>
      <c r="D48" s="1">
        <f t="shared" si="12"/>
        <v>492</v>
      </c>
      <c r="E48">
        <f t="shared" si="9"/>
        <v>1.3147599999999999E-3</v>
      </c>
      <c r="F48">
        <f t="shared" si="10"/>
        <v>1314.76</v>
      </c>
      <c r="G48">
        <f t="shared" si="11"/>
        <v>2.46</v>
      </c>
      <c r="H48">
        <v>48</v>
      </c>
    </row>
    <row r="49" spans="1:8" x14ac:dyDescent="0.2">
      <c r="A49">
        <v>4</v>
      </c>
      <c r="B49" s="1">
        <v>1</v>
      </c>
      <c r="C49" s="1">
        <v>1</v>
      </c>
      <c r="D49" s="1">
        <f t="shared" si="12"/>
        <v>492</v>
      </c>
      <c r="E49">
        <f t="shared" si="9"/>
        <v>1.4147599999999999E-3</v>
      </c>
      <c r="F49">
        <f t="shared" si="10"/>
        <v>1414.76</v>
      </c>
      <c r="G49">
        <f t="shared" si="11"/>
        <v>2.76</v>
      </c>
      <c r="H49">
        <v>75.2</v>
      </c>
    </row>
    <row r="50" spans="1:8" x14ac:dyDescent="0.2">
      <c r="A50">
        <v>4</v>
      </c>
      <c r="B50" s="1">
        <v>0</v>
      </c>
      <c r="C50" s="1">
        <v>0</v>
      </c>
      <c r="D50" s="1">
        <f>300+1.5*256</f>
        <v>684</v>
      </c>
      <c r="E50">
        <f t="shared" si="9"/>
        <v>2.052E-5</v>
      </c>
      <c r="F50">
        <f t="shared" si="10"/>
        <v>20.52</v>
      </c>
      <c r="G50">
        <f t="shared" si="11"/>
        <v>3.42</v>
      </c>
      <c r="H50">
        <v>48.7</v>
      </c>
    </row>
    <row r="51" spans="1:8" x14ac:dyDescent="0.2">
      <c r="A51">
        <v>4</v>
      </c>
      <c r="B51" s="1">
        <v>0</v>
      </c>
      <c r="C51" s="1">
        <v>1</v>
      </c>
      <c r="D51" s="1">
        <f t="shared" ref="D51:D53" si="13">300+1.5*256</f>
        <v>684</v>
      </c>
      <c r="E51">
        <f t="shared" si="9"/>
        <v>1.2052E-4</v>
      </c>
      <c r="F51">
        <f t="shared" si="10"/>
        <v>120.52000000000001</v>
      </c>
      <c r="G51">
        <f t="shared" si="11"/>
        <v>3.7199999999999998</v>
      </c>
      <c r="H51">
        <v>74.3</v>
      </c>
    </row>
    <row r="52" spans="1:8" x14ac:dyDescent="0.2">
      <c r="A52">
        <v>4</v>
      </c>
      <c r="B52" s="1">
        <v>1</v>
      </c>
      <c r="C52" s="1">
        <v>0</v>
      </c>
      <c r="D52" s="1">
        <f t="shared" si="13"/>
        <v>684</v>
      </c>
      <c r="E52">
        <f t="shared" si="9"/>
        <v>1.3205199999999999E-3</v>
      </c>
      <c r="F52">
        <f t="shared" si="10"/>
        <v>1320.52</v>
      </c>
      <c r="G52">
        <f t="shared" si="11"/>
        <v>3.42</v>
      </c>
      <c r="H52">
        <v>49.7</v>
      </c>
    </row>
    <row r="53" spans="1:8" x14ac:dyDescent="0.2">
      <c r="A53">
        <v>4</v>
      </c>
      <c r="B53" s="1">
        <v>1</v>
      </c>
      <c r="C53" s="1">
        <v>1</v>
      </c>
      <c r="D53" s="1">
        <f t="shared" si="13"/>
        <v>684</v>
      </c>
      <c r="E53">
        <f t="shared" si="9"/>
        <v>1.42052E-3</v>
      </c>
      <c r="F53">
        <f t="shared" si="10"/>
        <v>1420.52</v>
      </c>
      <c r="G53">
        <f t="shared" si="11"/>
        <v>3.7199999999999998</v>
      </c>
      <c r="H53">
        <v>76.5</v>
      </c>
    </row>
    <row r="54" spans="1:8" x14ac:dyDescent="0.2">
      <c r="A54">
        <v>4</v>
      </c>
      <c r="B54" s="1">
        <v>0</v>
      </c>
      <c r="C54" s="1">
        <v>0</v>
      </c>
      <c r="D54" s="1">
        <f>300+1.5*512</f>
        <v>1068</v>
      </c>
      <c r="E54">
        <f t="shared" si="9"/>
        <v>3.2039999999999998E-5</v>
      </c>
      <c r="F54">
        <f t="shared" si="10"/>
        <v>32.04</v>
      </c>
      <c r="G54">
        <f t="shared" si="11"/>
        <v>5.34</v>
      </c>
      <c r="H54">
        <v>51.7</v>
      </c>
    </row>
    <row r="55" spans="1:8" x14ac:dyDescent="0.2">
      <c r="A55">
        <v>4</v>
      </c>
      <c r="B55" s="1">
        <v>0</v>
      </c>
      <c r="C55" s="1">
        <v>1</v>
      </c>
      <c r="D55" s="1">
        <f t="shared" ref="D55:D57" si="14">300+1.5*512</f>
        <v>1068</v>
      </c>
      <c r="E55">
        <f t="shared" si="9"/>
        <v>1.3203999999999999E-4</v>
      </c>
      <c r="F55">
        <f t="shared" si="10"/>
        <v>132.04</v>
      </c>
      <c r="G55">
        <f t="shared" si="11"/>
        <v>5.64</v>
      </c>
      <c r="H55">
        <v>66.7</v>
      </c>
    </row>
    <row r="56" spans="1:8" x14ac:dyDescent="0.2">
      <c r="A56">
        <v>4</v>
      </c>
      <c r="B56" s="1">
        <v>1</v>
      </c>
      <c r="C56" s="1">
        <v>0</v>
      </c>
      <c r="D56" s="1">
        <f t="shared" si="14"/>
        <v>1068</v>
      </c>
      <c r="E56">
        <f t="shared" si="9"/>
        <v>1.33204E-3</v>
      </c>
      <c r="F56">
        <f t="shared" si="10"/>
        <v>1332.04</v>
      </c>
      <c r="G56">
        <f t="shared" si="11"/>
        <v>5.34</v>
      </c>
      <c r="H56">
        <v>50.1</v>
      </c>
    </row>
    <row r="57" spans="1:8" x14ac:dyDescent="0.2">
      <c r="A57">
        <v>4</v>
      </c>
      <c r="B57" s="1">
        <v>1</v>
      </c>
      <c r="C57" s="1">
        <v>1</v>
      </c>
      <c r="D57" s="1">
        <f t="shared" si="14"/>
        <v>1068</v>
      </c>
      <c r="E57">
        <f t="shared" si="9"/>
        <v>1.4320399999999999E-3</v>
      </c>
      <c r="F57">
        <f t="shared" si="10"/>
        <v>1432.04</v>
      </c>
      <c r="G57">
        <f t="shared" si="11"/>
        <v>5.64</v>
      </c>
      <c r="H57">
        <v>71.3</v>
      </c>
    </row>
    <row r="58" spans="1:8" x14ac:dyDescent="0.2">
      <c r="A58">
        <v>4</v>
      </c>
      <c r="B58" s="1">
        <v>0</v>
      </c>
      <c r="C58" s="1">
        <v>0</v>
      </c>
      <c r="D58" s="1">
        <f>300+1.5*768</f>
        <v>1452</v>
      </c>
      <c r="E58">
        <f t="shared" si="9"/>
        <v>4.3559999999999996E-5</v>
      </c>
      <c r="F58">
        <f t="shared" si="10"/>
        <v>43.559999999999995</v>
      </c>
      <c r="G58">
        <f t="shared" si="11"/>
        <v>7.26</v>
      </c>
      <c r="H58">
        <v>49.3</v>
      </c>
    </row>
    <row r="59" spans="1:8" x14ac:dyDescent="0.2">
      <c r="A59">
        <v>4</v>
      </c>
      <c r="B59" s="1">
        <v>0</v>
      </c>
      <c r="C59" s="1">
        <v>1</v>
      </c>
      <c r="D59" s="1">
        <f t="shared" ref="D59:D61" si="15">300+1.5*768</f>
        <v>1452</v>
      </c>
      <c r="E59">
        <f t="shared" si="9"/>
        <v>1.4355999999999999E-4</v>
      </c>
      <c r="F59">
        <f t="shared" si="10"/>
        <v>143.55999999999997</v>
      </c>
      <c r="G59">
        <f t="shared" si="11"/>
        <v>7.56</v>
      </c>
      <c r="H59">
        <v>65.099999999999994</v>
      </c>
    </row>
    <row r="60" spans="1:8" x14ac:dyDescent="0.2">
      <c r="A60">
        <v>4</v>
      </c>
      <c r="B60" s="1">
        <v>1</v>
      </c>
      <c r="C60" s="1">
        <v>0</v>
      </c>
      <c r="D60" s="1">
        <f t="shared" si="15"/>
        <v>1452</v>
      </c>
      <c r="E60">
        <f t="shared" si="9"/>
        <v>1.3435599999999999E-3</v>
      </c>
      <c r="F60">
        <f t="shared" si="10"/>
        <v>1343.56</v>
      </c>
      <c r="G60">
        <f t="shared" si="11"/>
        <v>7.26</v>
      </c>
      <c r="H60">
        <v>50.1</v>
      </c>
    </row>
    <row r="61" spans="1:8" x14ac:dyDescent="0.2">
      <c r="A61">
        <v>4</v>
      </c>
      <c r="B61" s="1">
        <v>1</v>
      </c>
      <c r="C61" s="1">
        <v>1</v>
      </c>
      <c r="D61" s="1">
        <f t="shared" si="15"/>
        <v>1452</v>
      </c>
      <c r="E61">
        <f t="shared" si="9"/>
        <v>1.44356E-3</v>
      </c>
      <c r="F61">
        <f t="shared" si="10"/>
        <v>1443.56</v>
      </c>
      <c r="G61">
        <f t="shared" si="11"/>
        <v>7.56</v>
      </c>
      <c r="H61">
        <v>64.5</v>
      </c>
    </row>
    <row r="62" spans="1:8" x14ac:dyDescent="0.2">
      <c r="A62">
        <v>4</v>
      </c>
      <c r="B62" s="1">
        <v>0</v>
      </c>
      <c r="C62" s="1">
        <v>0</v>
      </c>
      <c r="D62" s="1">
        <f>300+1.5*1024</f>
        <v>1836</v>
      </c>
      <c r="E62">
        <f t="shared" si="9"/>
        <v>5.5079999999999994E-5</v>
      </c>
      <c r="F62">
        <f t="shared" si="10"/>
        <v>55.079999999999991</v>
      </c>
      <c r="G62">
        <f t="shared" si="11"/>
        <v>9.18</v>
      </c>
      <c r="H62">
        <v>49.1</v>
      </c>
    </row>
    <row r="63" spans="1:8" x14ac:dyDescent="0.2">
      <c r="A63">
        <v>4</v>
      </c>
      <c r="B63" s="1">
        <v>0</v>
      </c>
      <c r="C63" s="1">
        <v>1</v>
      </c>
      <c r="D63" s="1">
        <f t="shared" ref="D63:D65" si="16">300+1.5*1024</f>
        <v>1836</v>
      </c>
      <c r="E63">
        <f t="shared" si="9"/>
        <v>1.5507999999999999E-4</v>
      </c>
      <c r="F63">
        <f t="shared" si="10"/>
        <v>155.07999999999998</v>
      </c>
      <c r="G63">
        <f t="shared" si="11"/>
        <v>9.48</v>
      </c>
      <c r="H63">
        <v>65.3</v>
      </c>
    </row>
    <row r="64" spans="1:8" x14ac:dyDescent="0.2">
      <c r="A64">
        <v>4</v>
      </c>
      <c r="B64" s="1">
        <v>1</v>
      </c>
      <c r="C64" s="1">
        <v>0</v>
      </c>
      <c r="D64" s="1">
        <f t="shared" si="16"/>
        <v>1836</v>
      </c>
      <c r="E64">
        <f t="shared" si="9"/>
        <v>1.3550799999999998E-3</v>
      </c>
      <c r="F64">
        <f t="shared" si="10"/>
        <v>1355.08</v>
      </c>
      <c r="G64">
        <f t="shared" si="11"/>
        <v>9.18</v>
      </c>
      <c r="H64">
        <v>50.6</v>
      </c>
    </row>
    <row r="65" spans="1:8" x14ac:dyDescent="0.2">
      <c r="A65">
        <v>4</v>
      </c>
      <c r="B65" s="1">
        <v>1</v>
      </c>
      <c r="C65" s="1">
        <v>1</v>
      </c>
      <c r="D65" s="1">
        <f t="shared" si="16"/>
        <v>1836</v>
      </c>
      <c r="E65">
        <f t="shared" si="9"/>
        <v>1.4550800000000001E-3</v>
      </c>
      <c r="F65">
        <f t="shared" si="10"/>
        <v>1455.0800000000002</v>
      </c>
      <c r="G65">
        <f t="shared" si="11"/>
        <v>9.48</v>
      </c>
      <c r="H65">
        <v>63.8</v>
      </c>
    </row>
    <row r="66" spans="1:8" x14ac:dyDescent="0.2">
      <c r="A66">
        <v>1</v>
      </c>
      <c r="B66">
        <v>0</v>
      </c>
      <c r="C66">
        <v>0</v>
      </c>
      <c r="D66">
        <v>120</v>
      </c>
      <c r="E66">
        <f>(B66*0.0013) + (C66*0.0001) + ((D66/1000000) * 0.01)</f>
        <v>1.2000000000000002E-6</v>
      </c>
      <c r="F66">
        <f>E66*1000000</f>
        <v>1.2000000000000002</v>
      </c>
      <c r="G66">
        <f>(C66*0.3) + (D66/300)</f>
        <v>0.4</v>
      </c>
      <c r="H66">
        <v>34.6</v>
      </c>
    </row>
    <row r="67" spans="1:8" x14ac:dyDescent="0.2">
      <c r="A67">
        <v>1</v>
      </c>
      <c r="B67">
        <v>0</v>
      </c>
      <c r="C67">
        <v>1</v>
      </c>
      <c r="D67">
        <v>120</v>
      </c>
      <c r="E67">
        <f t="shared" ref="E67:E97" si="17">(B67*0.0013) + (C67*0.0001) + ((D67/1000000) * 0.01)</f>
        <v>1.0120000000000001E-4</v>
      </c>
      <c r="F67">
        <f t="shared" ref="F67:F97" si="18">E67*1000000</f>
        <v>101.2</v>
      </c>
      <c r="G67">
        <f t="shared" ref="G67:G97" si="19">(C67*0.3) + (D67/300)</f>
        <v>0.7</v>
      </c>
      <c r="H67">
        <v>58.5</v>
      </c>
    </row>
    <row r="68" spans="1:8" x14ac:dyDescent="0.2">
      <c r="A68">
        <v>1</v>
      </c>
      <c r="B68">
        <v>0</v>
      </c>
      <c r="C68">
        <v>0</v>
      </c>
      <c r="D68">
        <v>300</v>
      </c>
      <c r="E68">
        <f>(B68*0.0013) + (C68*0.0001) + ((D68/1000000) * 0.01)</f>
        <v>2.9999999999999997E-6</v>
      </c>
      <c r="F68">
        <f>E68*1000000</f>
        <v>2.9999999999999996</v>
      </c>
      <c r="G68">
        <f>(C68*0.3) + (D68/300)</f>
        <v>1</v>
      </c>
      <c r="H68">
        <v>27.7</v>
      </c>
    </row>
    <row r="69" spans="1:8" x14ac:dyDescent="0.2">
      <c r="A69">
        <v>1</v>
      </c>
      <c r="B69">
        <v>0</v>
      </c>
      <c r="C69">
        <v>1</v>
      </c>
      <c r="D69">
        <v>300</v>
      </c>
      <c r="E69">
        <f>(B69*0.0013) + (C69*0.0001) + ((D69/1000000) * 0.01)</f>
        <v>1.0300000000000001E-4</v>
      </c>
      <c r="F69">
        <f>E69*1000000</f>
        <v>103.00000000000001</v>
      </c>
      <c r="G69">
        <f>(C69*0.3) + (D69/300)</f>
        <v>1.3</v>
      </c>
      <c r="H69">
        <v>58.6</v>
      </c>
    </row>
    <row r="70" spans="1:8" x14ac:dyDescent="0.2">
      <c r="A70">
        <v>1</v>
      </c>
      <c r="B70">
        <v>0</v>
      </c>
      <c r="C70">
        <v>0</v>
      </c>
      <c r="D70">
        <v>1500</v>
      </c>
      <c r="E70">
        <f>(B70*0.0013) + (C70*0.0001) + ((D70/1000000) * 0.01)</f>
        <v>1.5E-5</v>
      </c>
      <c r="F70">
        <f>E70*1000000</f>
        <v>15</v>
      </c>
      <c r="G70">
        <f>(C70*0.3) + (D70/300)</f>
        <v>5</v>
      </c>
      <c r="H70">
        <v>27.3</v>
      </c>
    </row>
    <row r="71" spans="1:8" x14ac:dyDescent="0.2">
      <c r="A71">
        <v>1</v>
      </c>
      <c r="B71">
        <v>0</v>
      </c>
      <c r="C71">
        <v>1</v>
      </c>
      <c r="D71">
        <v>1500</v>
      </c>
      <c r="E71">
        <f>(B71*0.0013) + (C71*0.0001) + ((D71/1000000) * 0.01)</f>
        <v>1.15E-4</v>
      </c>
      <c r="F71">
        <f>E71*1000000</f>
        <v>115</v>
      </c>
      <c r="G71">
        <f>(C71*0.3) + (D71/300)</f>
        <v>5.3</v>
      </c>
      <c r="H71">
        <v>63.1</v>
      </c>
    </row>
    <row r="72" spans="1:8" x14ac:dyDescent="0.2">
      <c r="A72">
        <v>1</v>
      </c>
      <c r="B72" s="1">
        <v>0</v>
      </c>
      <c r="C72" s="1">
        <v>0</v>
      </c>
      <c r="D72" s="1">
        <f>300 + 1.5*128</f>
        <v>492</v>
      </c>
      <c r="E72">
        <f>(B72*0.0013) + (C72*0.0001) + ((D72/1000000) * 0.01)</f>
        <v>4.9200000000000003E-6</v>
      </c>
      <c r="F72">
        <f>E72*1000000</f>
        <v>4.92</v>
      </c>
      <c r="G72">
        <f>(C72*0.3) + (D72/300)</f>
        <v>1.64</v>
      </c>
      <c r="H72">
        <v>37.1</v>
      </c>
    </row>
    <row r="73" spans="1:8" x14ac:dyDescent="0.2">
      <c r="A73">
        <v>1</v>
      </c>
      <c r="B73" s="1">
        <v>0</v>
      </c>
      <c r="C73" s="1">
        <v>1</v>
      </c>
      <c r="D73" s="1">
        <f t="shared" ref="D73:D81" si="20">300 + 1.5*128</f>
        <v>492</v>
      </c>
      <c r="E73">
        <f>(B73*0.0013) + (C73*0.0001) + ((D73/1000000) * 0.01)</f>
        <v>1.0492000000000001E-4</v>
      </c>
      <c r="F73">
        <f>E73*1000000</f>
        <v>104.92</v>
      </c>
      <c r="G73">
        <f>(C73*0.3) + (D73/300)</f>
        <v>1.94</v>
      </c>
      <c r="H73">
        <v>67.3</v>
      </c>
    </row>
    <row r="74" spans="1:8" x14ac:dyDescent="0.2">
      <c r="A74">
        <v>1</v>
      </c>
      <c r="B74" s="1">
        <v>0</v>
      </c>
      <c r="C74" s="1">
        <v>0</v>
      </c>
      <c r="D74" s="1">
        <f>300+1.5*256</f>
        <v>684</v>
      </c>
      <c r="E74">
        <f>(B74*0.0013) + (C74*0.0001) + ((D74/1000000) * 0.01)</f>
        <v>6.8400000000000006E-6</v>
      </c>
      <c r="F74">
        <f>E74*1000000</f>
        <v>6.8400000000000007</v>
      </c>
      <c r="G74">
        <f>(C74*0.3) + (D74/300)</f>
        <v>2.2799999999999998</v>
      </c>
      <c r="H74">
        <v>37.9</v>
      </c>
    </row>
    <row r="75" spans="1:8" x14ac:dyDescent="0.2">
      <c r="A75">
        <v>1</v>
      </c>
      <c r="B75" s="1">
        <v>0</v>
      </c>
      <c r="C75" s="1">
        <v>1</v>
      </c>
      <c r="D75" s="1">
        <f t="shared" ref="D75:D89" si="21">300+1.5*256</f>
        <v>684</v>
      </c>
      <c r="E75">
        <f>(B75*0.0013) + (C75*0.0001) + ((D75/1000000) * 0.01)</f>
        <v>1.0684E-4</v>
      </c>
      <c r="F75">
        <f>E75*1000000</f>
        <v>106.84</v>
      </c>
      <c r="G75">
        <f>(C75*0.3) + (D75/300)</f>
        <v>2.5799999999999996</v>
      </c>
      <c r="H75">
        <v>60.7</v>
      </c>
    </row>
    <row r="76" spans="1:8" x14ac:dyDescent="0.2">
      <c r="A76">
        <v>1</v>
      </c>
      <c r="B76" s="1">
        <v>0</v>
      </c>
      <c r="C76" s="1">
        <v>0</v>
      </c>
      <c r="D76" s="1">
        <f>300+1.5*512</f>
        <v>1068</v>
      </c>
      <c r="E76">
        <f>(B76*0.0013) + (C76*0.0001) + ((D76/1000000) * 0.01)</f>
        <v>1.0679999999999999E-5</v>
      </c>
      <c r="F76">
        <f>E76*1000000</f>
        <v>10.68</v>
      </c>
      <c r="G76">
        <f>(C76*0.3) + (D76/300)</f>
        <v>3.56</v>
      </c>
      <c r="H76">
        <v>41.4</v>
      </c>
    </row>
    <row r="77" spans="1:8" x14ac:dyDescent="0.2">
      <c r="A77">
        <v>1</v>
      </c>
      <c r="B77" s="1">
        <v>0</v>
      </c>
      <c r="C77" s="1">
        <v>1</v>
      </c>
      <c r="D77" s="1">
        <f t="shared" ref="D77:D93" si="22">300+1.5*512</f>
        <v>1068</v>
      </c>
      <c r="E77">
        <f>(B77*0.0013) + (C77*0.0001) + ((D77/1000000) * 0.01)</f>
        <v>1.1068E-4</v>
      </c>
      <c r="F77">
        <f>E77*1000000</f>
        <v>110.68</v>
      </c>
      <c r="G77">
        <f>(C77*0.3) + (D77/300)</f>
        <v>3.86</v>
      </c>
      <c r="H77">
        <v>57.6</v>
      </c>
    </row>
    <row r="78" spans="1:8" x14ac:dyDescent="0.2">
      <c r="A78">
        <v>1</v>
      </c>
      <c r="B78" s="1">
        <v>0</v>
      </c>
      <c r="C78" s="1">
        <v>0</v>
      </c>
      <c r="D78" s="1">
        <f>300+1.5*768</f>
        <v>1452</v>
      </c>
      <c r="E78">
        <f>(B78*0.0013) + (C78*0.0001) + ((D78/1000000) * 0.01)</f>
        <v>1.452E-5</v>
      </c>
      <c r="F78">
        <f>E78*1000000</f>
        <v>14.52</v>
      </c>
      <c r="G78">
        <f>(C78*0.3) + (D78/300)</f>
        <v>4.84</v>
      </c>
      <c r="H78">
        <v>44.6</v>
      </c>
    </row>
    <row r="79" spans="1:8" x14ac:dyDescent="0.2">
      <c r="A79">
        <v>1</v>
      </c>
      <c r="B79" s="1">
        <v>0</v>
      </c>
      <c r="C79" s="1">
        <v>1</v>
      </c>
      <c r="D79" s="1">
        <f t="shared" ref="D79:D97" si="23">300+1.5*768</f>
        <v>1452</v>
      </c>
      <c r="E79">
        <f>(B79*0.0013) + (C79*0.0001) + ((D79/1000000) * 0.01)</f>
        <v>1.1452000000000001E-4</v>
      </c>
      <c r="F79">
        <f>E79*1000000</f>
        <v>114.52000000000001</v>
      </c>
      <c r="G79">
        <f>(C79*0.3) + (D79/300)</f>
        <v>5.14</v>
      </c>
      <c r="H79">
        <v>60</v>
      </c>
    </row>
    <row r="80" spans="1:8" x14ac:dyDescent="0.2">
      <c r="A80">
        <v>1</v>
      </c>
      <c r="B80" s="1">
        <v>0</v>
      </c>
      <c r="C80" s="1">
        <v>0</v>
      </c>
      <c r="D80" s="1">
        <f>300+1.5*1024</f>
        <v>1836</v>
      </c>
      <c r="E80">
        <f>(B80*0.0013) + (C80*0.0001) + ((D80/1000000) * 0.01)</f>
        <v>1.836E-5</v>
      </c>
      <c r="F80">
        <f>E80*1000000</f>
        <v>18.36</v>
      </c>
      <c r="G80">
        <f>(C80*0.3) + (D80/300)</f>
        <v>6.12</v>
      </c>
      <c r="H80">
        <v>46.2</v>
      </c>
    </row>
    <row r="81" spans="1:8" x14ac:dyDescent="0.2">
      <c r="A81">
        <v>1</v>
      </c>
      <c r="B81" s="1">
        <v>0</v>
      </c>
      <c r="C81" s="1">
        <v>1</v>
      </c>
      <c r="D81" s="1">
        <f t="shared" ref="D81:D97" si="24">300+1.5*1024</f>
        <v>1836</v>
      </c>
      <c r="E81">
        <f>(B81*0.0013) + (C81*0.0001) + ((D81/1000000) * 0.01)</f>
        <v>1.1836E-4</v>
      </c>
      <c r="F81">
        <f>E81*1000000</f>
        <v>118.36</v>
      </c>
      <c r="G81">
        <f>(C81*0.3) + (D81/300)</f>
        <v>6.42</v>
      </c>
      <c r="H81">
        <v>59</v>
      </c>
    </row>
    <row r="84" spans="1:8" x14ac:dyDescent="0.2">
      <c r="B84" s="1"/>
      <c r="C84" s="1"/>
      <c r="D84" s="1"/>
    </row>
    <row r="85" spans="1:8" x14ac:dyDescent="0.2">
      <c r="B85" s="1"/>
      <c r="C85" s="1"/>
      <c r="D85" s="1"/>
    </row>
    <row r="88" spans="1:8" x14ac:dyDescent="0.2">
      <c r="B88" s="1"/>
      <c r="C88" s="1"/>
      <c r="D88" s="1"/>
    </row>
    <row r="89" spans="1:8" x14ac:dyDescent="0.2">
      <c r="B89" s="1"/>
      <c r="C89" s="1"/>
      <c r="D89" s="1"/>
    </row>
    <row r="92" spans="1:8" x14ac:dyDescent="0.2">
      <c r="B92" s="1"/>
      <c r="C92" s="1"/>
      <c r="D92" s="1"/>
    </row>
    <row r="93" spans="1:8" x14ac:dyDescent="0.2">
      <c r="B93" s="1"/>
      <c r="C93" s="1"/>
      <c r="D93" s="1"/>
    </row>
    <row r="96" spans="1:8" x14ac:dyDescent="0.2">
      <c r="B96" s="1"/>
      <c r="C96" s="1"/>
      <c r="D96" s="1"/>
    </row>
    <row r="97" spans="2:4" x14ac:dyDescent="0.2">
      <c r="B97" s="1"/>
      <c r="C97" s="1"/>
      <c r="D97" s="1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0B24-B17A-624D-A513-90C5BB4CED11}">
  <dimension ref="A1:E101"/>
  <sheetViews>
    <sheetView tabSelected="1" workbookViewId="0">
      <selection sqref="A1:E101"/>
    </sheetView>
  </sheetViews>
  <sheetFormatPr baseColWidth="10" defaultRowHeight="16" x14ac:dyDescent="0.2"/>
  <cols>
    <col min="1" max="1" width="22.33203125" customWidth="1"/>
    <col min="7" max="7" width="20.33203125" bestFit="1" customWidth="1"/>
    <col min="13" max="13" width="22.33203125" customWidth="1"/>
    <col min="19" max="19" width="19" customWidth="1"/>
  </cols>
  <sheetData>
    <row r="1" spans="1:5" x14ac:dyDescent="0.2">
      <c r="A1" t="s">
        <v>10</v>
      </c>
      <c r="B1" t="s">
        <v>9</v>
      </c>
      <c r="C1" t="s">
        <v>1</v>
      </c>
      <c r="D1" t="s">
        <v>12</v>
      </c>
      <c r="E1" t="s">
        <v>8</v>
      </c>
    </row>
    <row r="2" spans="1:5" x14ac:dyDescent="0.2">
      <c r="A2" t="s">
        <v>11</v>
      </c>
      <c r="B2">
        <v>1</v>
      </c>
      <c r="C2">
        <v>0</v>
      </c>
      <c r="D2">
        <v>128</v>
      </c>
      <c r="E2">
        <v>37.1</v>
      </c>
    </row>
    <row r="3" spans="1:5" x14ac:dyDescent="0.2">
      <c r="A3" t="s">
        <v>11</v>
      </c>
      <c r="B3">
        <v>4</v>
      </c>
      <c r="C3">
        <v>0</v>
      </c>
      <c r="D3">
        <v>128</v>
      </c>
      <c r="E3">
        <v>45.5</v>
      </c>
    </row>
    <row r="4" spans="1:5" x14ac:dyDescent="0.2">
      <c r="A4" t="s">
        <v>11</v>
      </c>
      <c r="B4">
        <v>4</v>
      </c>
      <c r="C4">
        <v>1</v>
      </c>
      <c r="D4">
        <v>128</v>
      </c>
      <c r="E4">
        <v>48</v>
      </c>
    </row>
    <row r="5" spans="1:5" x14ac:dyDescent="0.2">
      <c r="A5" t="s">
        <v>11</v>
      </c>
      <c r="B5">
        <v>27</v>
      </c>
      <c r="C5">
        <v>0</v>
      </c>
      <c r="D5">
        <v>128</v>
      </c>
      <c r="E5">
        <v>62.1</v>
      </c>
    </row>
    <row r="6" spans="1:5" x14ac:dyDescent="0.2">
      <c r="A6" t="s">
        <v>11</v>
      </c>
      <c r="B6">
        <v>27</v>
      </c>
      <c r="C6">
        <v>1</v>
      </c>
      <c r="D6">
        <v>128</v>
      </c>
      <c r="E6">
        <v>58.1</v>
      </c>
    </row>
    <row r="7" spans="1:5" x14ac:dyDescent="0.2">
      <c r="A7" t="s">
        <v>11</v>
      </c>
      <c r="B7">
        <v>1</v>
      </c>
      <c r="C7">
        <v>0</v>
      </c>
      <c r="D7">
        <v>256</v>
      </c>
      <c r="E7">
        <v>37.9</v>
      </c>
    </row>
    <row r="8" spans="1:5" x14ac:dyDescent="0.2">
      <c r="A8" t="s">
        <v>11</v>
      </c>
      <c r="B8">
        <v>4</v>
      </c>
      <c r="C8">
        <v>0</v>
      </c>
      <c r="D8">
        <v>256</v>
      </c>
      <c r="E8">
        <v>48.7</v>
      </c>
    </row>
    <row r="9" spans="1:5" x14ac:dyDescent="0.2">
      <c r="A9" t="s">
        <v>11</v>
      </c>
      <c r="B9">
        <v>4</v>
      </c>
      <c r="C9">
        <v>1</v>
      </c>
      <c r="D9">
        <v>256</v>
      </c>
      <c r="E9">
        <v>49.7</v>
      </c>
    </row>
    <row r="10" spans="1:5" x14ac:dyDescent="0.2">
      <c r="A10" t="s">
        <v>11</v>
      </c>
      <c r="B10">
        <v>27</v>
      </c>
      <c r="C10">
        <v>0</v>
      </c>
      <c r="D10">
        <v>256</v>
      </c>
      <c r="E10">
        <v>63.8</v>
      </c>
    </row>
    <row r="11" spans="1:5" x14ac:dyDescent="0.2">
      <c r="A11" t="s">
        <v>11</v>
      </c>
      <c r="B11">
        <v>27</v>
      </c>
      <c r="C11">
        <v>1</v>
      </c>
      <c r="D11">
        <v>256</v>
      </c>
      <c r="E11">
        <v>65.099999999999994</v>
      </c>
    </row>
    <row r="12" spans="1:5" x14ac:dyDescent="0.2">
      <c r="A12" t="s">
        <v>11</v>
      </c>
      <c r="B12">
        <v>1</v>
      </c>
      <c r="C12">
        <v>0</v>
      </c>
      <c r="D12">
        <v>512</v>
      </c>
      <c r="E12">
        <v>41.4</v>
      </c>
    </row>
    <row r="13" spans="1:5" x14ac:dyDescent="0.2">
      <c r="A13" t="s">
        <v>11</v>
      </c>
      <c r="B13">
        <v>4</v>
      </c>
      <c r="C13">
        <v>0</v>
      </c>
      <c r="D13">
        <v>512</v>
      </c>
      <c r="E13">
        <v>51.7</v>
      </c>
    </row>
    <row r="14" spans="1:5" x14ac:dyDescent="0.2">
      <c r="A14" t="s">
        <v>11</v>
      </c>
      <c r="B14">
        <v>4</v>
      </c>
      <c r="C14">
        <v>1</v>
      </c>
      <c r="D14">
        <v>512</v>
      </c>
      <c r="E14">
        <v>50.1</v>
      </c>
    </row>
    <row r="15" spans="1:5" x14ac:dyDescent="0.2">
      <c r="A15" t="s">
        <v>11</v>
      </c>
      <c r="B15">
        <v>27</v>
      </c>
      <c r="C15">
        <v>0</v>
      </c>
      <c r="D15">
        <v>512</v>
      </c>
      <c r="E15">
        <v>64.2</v>
      </c>
    </row>
    <row r="16" spans="1:5" x14ac:dyDescent="0.2">
      <c r="A16" t="s">
        <v>11</v>
      </c>
      <c r="B16">
        <v>27</v>
      </c>
      <c r="C16">
        <v>1</v>
      </c>
      <c r="D16">
        <v>512</v>
      </c>
      <c r="E16">
        <v>75.099999999999994</v>
      </c>
    </row>
    <row r="17" spans="1:5" x14ac:dyDescent="0.2">
      <c r="A17" t="s">
        <v>11</v>
      </c>
      <c r="B17">
        <v>1</v>
      </c>
      <c r="C17">
        <v>0</v>
      </c>
      <c r="D17">
        <v>768</v>
      </c>
      <c r="E17">
        <v>44.6</v>
      </c>
    </row>
    <row r="18" spans="1:5" x14ac:dyDescent="0.2">
      <c r="A18" t="s">
        <v>11</v>
      </c>
      <c r="B18">
        <v>4</v>
      </c>
      <c r="C18">
        <v>0</v>
      </c>
      <c r="D18">
        <v>768</v>
      </c>
      <c r="E18">
        <v>49.3</v>
      </c>
    </row>
    <row r="19" spans="1:5" x14ac:dyDescent="0.2">
      <c r="A19" t="s">
        <v>11</v>
      </c>
      <c r="B19">
        <v>4</v>
      </c>
      <c r="C19">
        <v>1</v>
      </c>
      <c r="D19">
        <v>768</v>
      </c>
      <c r="E19">
        <v>50.1</v>
      </c>
    </row>
    <row r="20" spans="1:5" x14ac:dyDescent="0.2">
      <c r="A20" t="s">
        <v>11</v>
      </c>
      <c r="B20">
        <v>27</v>
      </c>
      <c r="C20">
        <v>0</v>
      </c>
      <c r="D20">
        <v>768</v>
      </c>
      <c r="E20">
        <v>65.400000000000006</v>
      </c>
    </row>
    <row r="21" spans="1:5" x14ac:dyDescent="0.2">
      <c r="A21" t="s">
        <v>11</v>
      </c>
      <c r="B21">
        <v>27</v>
      </c>
      <c r="C21">
        <v>1</v>
      </c>
      <c r="D21">
        <v>768</v>
      </c>
      <c r="E21">
        <v>77.3</v>
      </c>
    </row>
    <row r="22" spans="1:5" x14ac:dyDescent="0.2">
      <c r="A22" t="s">
        <v>11</v>
      </c>
      <c r="B22">
        <v>1</v>
      </c>
      <c r="C22">
        <v>0</v>
      </c>
      <c r="D22">
        <v>1024</v>
      </c>
      <c r="E22">
        <v>46.2</v>
      </c>
    </row>
    <row r="23" spans="1:5" x14ac:dyDescent="0.2">
      <c r="A23" t="s">
        <v>11</v>
      </c>
      <c r="B23">
        <v>4</v>
      </c>
      <c r="C23">
        <v>0</v>
      </c>
      <c r="D23">
        <v>1024</v>
      </c>
      <c r="E23">
        <v>49.1</v>
      </c>
    </row>
    <row r="24" spans="1:5" x14ac:dyDescent="0.2">
      <c r="A24" t="s">
        <v>11</v>
      </c>
      <c r="B24">
        <v>4</v>
      </c>
      <c r="C24">
        <v>1</v>
      </c>
      <c r="D24">
        <v>1024</v>
      </c>
      <c r="E24">
        <v>50.6</v>
      </c>
    </row>
    <row r="25" spans="1:5" x14ac:dyDescent="0.2">
      <c r="A25" t="s">
        <v>11</v>
      </c>
      <c r="B25">
        <v>27</v>
      </c>
      <c r="C25">
        <v>0</v>
      </c>
      <c r="D25">
        <v>1024</v>
      </c>
      <c r="E25">
        <v>66.8</v>
      </c>
    </row>
    <row r="26" spans="1:5" x14ac:dyDescent="0.2">
      <c r="A26" t="s">
        <v>11</v>
      </c>
      <c r="B26">
        <v>27</v>
      </c>
      <c r="C26">
        <v>1</v>
      </c>
      <c r="D26">
        <v>1024</v>
      </c>
      <c r="E26">
        <v>80.099999999999994</v>
      </c>
    </row>
    <row r="27" spans="1:5" x14ac:dyDescent="0.2">
      <c r="A27" t="s">
        <v>13</v>
      </c>
      <c r="B27">
        <v>1</v>
      </c>
      <c r="C27">
        <v>0</v>
      </c>
      <c r="D27">
        <v>128</v>
      </c>
      <c r="E27">
        <v>31.1</v>
      </c>
    </row>
    <row r="28" spans="1:5" x14ac:dyDescent="0.2">
      <c r="A28" t="s">
        <v>13</v>
      </c>
      <c r="B28">
        <v>4</v>
      </c>
      <c r="C28">
        <v>0</v>
      </c>
      <c r="D28">
        <v>128</v>
      </c>
      <c r="E28">
        <v>25.4</v>
      </c>
    </row>
    <row r="29" spans="1:5" x14ac:dyDescent="0.2">
      <c r="A29" t="s">
        <v>13</v>
      </c>
      <c r="B29">
        <v>4</v>
      </c>
      <c r="C29">
        <v>1</v>
      </c>
      <c r="D29">
        <v>128</v>
      </c>
      <c r="E29">
        <v>32.700000000000003</v>
      </c>
    </row>
    <row r="30" spans="1:5" x14ac:dyDescent="0.2">
      <c r="A30" t="s">
        <v>13</v>
      </c>
      <c r="B30">
        <v>27</v>
      </c>
      <c r="C30">
        <v>0</v>
      </c>
      <c r="D30">
        <v>128</v>
      </c>
      <c r="E30">
        <v>24.2</v>
      </c>
    </row>
    <row r="31" spans="1:5" x14ac:dyDescent="0.2">
      <c r="A31" t="s">
        <v>13</v>
      </c>
      <c r="B31">
        <v>27</v>
      </c>
      <c r="C31">
        <v>1</v>
      </c>
      <c r="D31">
        <v>128</v>
      </c>
      <c r="E31">
        <v>42.6</v>
      </c>
    </row>
    <row r="32" spans="1:5" x14ac:dyDescent="0.2">
      <c r="A32" t="s">
        <v>13</v>
      </c>
      <c r="B32">
        <v>1</v>
      </c>
      <c r="C32">
        <v>0</v>
      </c>
      <c r="D32">
        <v>256</v>
      </c>
      <c r="E32">
        <v>30.5</v>
      </c>
    </row>
    <row r="33" spans="1:5" x14ac:dyDescent="0.2">
      <c r="A33" t="s">
        <v>13</v>
      </c>
      <c r="B33">
        <v>4</v>
      </c>
      <c r="C33">
        <v>0</v>
      </c>
      <c r="D33">
        <v>256</v>
      </c>
      <c r="E33">
        <v>27.8</v>
      </c>
    </row>
    <row r="34" spans="1:5" x14ac:dyDescent="0.2">
      <c r="A34" t="s">
        <v>13</v>
      </c>
      <c r="B34">
        <v>4</v>
      </c>
      <c r="C34">
        <v>1</v>
      </c>
      <c r="D34">
        <v>256</v>
      </c>
      <c r="E34">
        <v>31.8</v>
      </c>
    </row>
    <row r="35" spans="1:5" x14ac:dyDescent="0.2">
      <c r="A35" t="s">
        <v>13</v>
      </c>
      <c r="B35">
        <v>27</v>
      </c>
      <c r="C35">
        <v>0</v>
      </c>
      <c r="D35">
        <v>256</v>
      </c>
      <c r="E35">
        <v>28.1</v>
      </c>
    </row>
    <row r="36" spans="1:5" x14ac:dyDescent="0.2">
      <c r="A36" t="s">
        <v>13</v>
      </c>
      <c r="B36">
        <v>27</v>
      </c>
      <c r="C36">
        <v>1</v>
      </c>
      <c r="D36">
        <v>256</v>
      </c>
      <c r="E36">
        <v>43.2</v>
      </c>
    </row>
    <row r="37" spans="1:5" x14ac:dyDescent="0.2">
      <c r="A37" t="s">
        <v>13</v>
      </c>
      <c r="B37">
        <v>1</v>
      </c>
      <c r="C37">
        <v>0</v>
      </c>
      <c r="D37">
        <v>512</v>
      </c>
      <c r="E37">
        <v>33.200000000000003</v>
      </c>
    </row>
    <row r="38" spans="1:5" x14ac:dyDescent="0.2">
      <c r="A38" t="s">
        <v>13</v>
      </c>
      <c r="B38">
        <v>4</v>
      </c>
      <c r="C38">
        <v>0</v>
      </c>
      <c r="D38">
        <v>512</v>
      </c>
      <c r="E38">
        <v>32.1</v>
      </c>
    </row>
    <row r="39" spans="1:5" x14ac:dyDescent="0.2">
      <c r="A39" t="s">
        <v>13</v>
      </c>
      <c r="B39">
        <v>4</v>
      </c>
      <c r="C39">
        <v>1</v>
      </c>
      <c r="D39">
        <v>512</v>
      </c>
      <c r="E39">
        <v>40.1</v>
      </c>
    </row>
    <row r="40" spans="1:5" x14ac:dyDescent="0.2">
      <c r="A40" t="s">
        <v>13</v>
      </c>
      <c r="B40">
        <v>27</v>
      </c>
      <c r="C40">
        <v>0</v>
      </c>
      <c r="D40">
        <v>512</v>
      </c>
      <c r="E40">
        <v>33.200000000000003</v>
      </c>
    </row>
    <row r="41" spans="1:5" x14ac:dyDescent="0.2">
      <c r="A41" t="s">
        <v>13</v>
      </c>
      <c r="B41">
        <v>27</v>
      </c>
      <c r="C41">
        <v>1</v>
      </c>
      <c r="D41">
        <v>512</v>
      </c>
      <c r="E41">
        <v>45.2</v>
      </c>
    </row>
    <row r="42" spans="1:5" x14ac:dyDescent="0.2">
      <c r="A42" t="s">
        <v>13</v>
      </c>
      <c r="B42">
        <v>1</v>
      </c>
      <c r="C42">
        <v>0</v>
      </c>
      <c r="D42">
        <v>768</v>
      </c>
      <c r="E42">
        <v>41.6</v>
      </c>
    </row>
    <row r="43" spans="1:5" x14ac:dyDescent="0.2">
      <c r="A43" t="s">
        <v>13</v>
      </c>
      <c r="B43">
        <v>4</v>
      </c>
      <c r="C43">
        <v>0</v>
      </c>
      <c r="D43">
        <v>768</v>
      </c>
      <c r="E43">
        <v>39.200000000000003</v>
      </c>
    </row>
    <row r="44" spans="1:5" x14ac:dyDescent="0.2">
      <c r="A44" t="s">
        <v>13</v>
      </c>
      <c r="B44">
        <v>4</v>
      </c>
      <c r="C44">
        <v>1</v>
      </c>
      <c r="D44">
        <v>768</v>
      </c>
      <c r="E44">
        <v>37.9</v>
      </c>
    </row>
    <row r="45" spans="1:5" x14ac:dyDescent="0.2">
      <c r="A45" t="s">
        <v>13</v>
      </c>
      <c r="B45">
        <v>27</v>
      </c>
      <c r="C45">
        <v>0</v>
      </c>
      <c r="D45">
        <v>768</v>
      </c>
      <c r="E45">
        <v>38.1</v>
      </c>
    </row>
    <row r="46" spans="1:5" x14ac:dyDescent="0.2">
      <c r="A46" t="s">
        <v>13</v>
      </c>
      <c r="B46">
        <v>27</v>
      </c>
      <c r="C46">
        <v>1</v>
      </c>
      <c r="D46">
        <v>768</v>
      </c>
      <c r="E46">
        <v>47.8</v>
      </c>
    </row>
    <row r="47" spans="1:5" x14ac:dyDescent="0.2">
      <c r="A47" t="s">
        <v>13</v>
      </c>
      <c r="B47">
        <v>1</v>
      </c>
      <c r="C47">
        <v>0</v>
      </c>
      <c r="D47">
        <v>1024</v>
      </c>
      <c r="E47">
        <v>40.1</v>
      </c>
    </row>
    <row r="48" spans="1:5" x14ac:dyDescent="0.2">
      <c r="A48" t="s">
        <v>13</v>
      </c>
      <c r="B48">
        <v>4</v>
      </c>
      <c r="C48">
        <v>0</v>
      </c>
      <c r="D48">
        <v>1024</v>
      </c>
      <c r="E48">
        <v>40.1</v>
      </c>
    </row>
    <row r="49" spans="1:5" x14ac:dyDescent="0.2">
      <c r="A49" t="s">
        <v>13</v>
      </c>
      <c r="B49">
        <v>4</v>
      </c>
      <c r="C49">
        <v>1</v>
      </c>
      <c r="D49">
        <v>1024</v>
      </c>
      <c r="E49">
        <v>39.1</v>
      </c>
    </row>
    <row r="50" spans="1:5" x14ac:dyDescent="0.2">
      <c r="A50" t="s">
        <v>13</v>
      </c>
      <c r="B50">
        <v>27</v>
      </c>
      <c r="C50">
        <v>0</v>
      </c>
      <c r="D50">
        <v>1024</v>
      </c>
      <c r="E50">
        <v>42.1</v>
      </c>
    </row>
    <row r="51" spans="1:5" x14ac:dyDescent="0.2">
      <c r="A51" t="s">
        <v>13</v>
      </c>
      <c r="B51">
        <v>27</v>
      </c>
      <c r="C51">
        <v>1</v>
      </c>
      <c r="D51">
        <v>1024</v>
      </c>
      <c r="E51">
        <v>50</v>
      </c>
    </row>
    <row r="52" spans="1:5" x14ac:dyDescent="0.2">
      <c r="A52" t="s">
        <v>14</v>
      </c>
      <c r="B52">
        <v>1</v>
      </c>
      <c r="C52">
        <v>0</v>
      </c>
      <c r="D52">
        <v>128</v>
      </c>
      <c r="E52">
        <v>67.3</v>
      </c>
    </row>
    <row r="53" spans="1:5" x14ac:dyDescent="0.2">
      <c r="A53" t="s">
        <v>14</v>
      </c>
      <c r="B53">
        <v>4</v>
      </c>
      <c r="C53">
        <v>0</v>
      </c>
      <c r="D53">
        <v>128</v>
      </c>
      <c r="E53">
        <v>76</v>
      </c>
    </row>
    <row r="54" spans="1:5" x14ac:dyDescent="0.2">
      <c r="A54" t="s">
        <v>14</v>
      </c>
      <c r="B54">
        <v>4</v>
      </c>
      <c r="C54">
        <v>1</v>
      </c>
      <c r="D54">
        <v>128</v>
      </c>
      <c r="E54">
        <v>75.2</v>
      </c>
    </row>
    <row r="55" spans="1:5" x14ac:dyDescent="0.2">
      <c r="A55" t="s">
        <v>14</v>
      </c>
      <c r="B55">
        <v>27</v>
      </c>
      <c r="C55">
        <v>0</v>
      </c>
      <c r="D55">
        <v>128</v>
      </c>
      <c r="E55">
        <v>72.099999999999994</v>
      </c>
    </row>
    <row r="56" spans="1:5" x14ac:dyDescent="0.2">
      <c r="A56" t="s">
        <v>14</v>
      </c>
      <c r="B56">
        <v>27</v>
      </c>
      <c r="C56">
        <v>1</v>
      </c>
      <c r="D56">
        <v>128</v>
      </c>
      <c r="E56">
        <v>76.099999999999994</v>
      </c>
    </row>
    <row r="57" spans="1:5" x14ac:dyDescent="0.2">
      <c r="A57" t="s">
        <v>14</v>
      </c>
      <c r="B57">
        <v>1</v>
      </c>
      <c r="C57">
        <v>0</v>
      </c>
      <c r="D57">
        <v>256</v>
      </c>
      <c r="E57">
        <v>60.7</v>
      </c>
    </row>
    <row r="58" spans="1:5" x14ac:dyDescent="0.2">
      <c r="A58" t="s">
        <v>14</v>
      </c>
      <c r="B58">
        <v>4</v>
      </c>
      <c r="C58">
        <v>0</v>
      </c>
      <c r="D58">
        <v>256</v>
      </c>
      <c r="E58">
        <v>74.3</v>
      </c>
    </row>
    <row r="59" spans="1:5" x14ac:dyDescent="0.2">
      <c r="A59" t="s">
        <v>14</v>
      </c>
      <c r="B59">
        <v>4</v>
      </c>
      <c r="C59">
        <v>1</v>
      </c>
      <c r="D59">
        <v>256</v>
      </c>
      <c r="E59">
        <v>76.5</v>
      </c>
    </row>
    <row r="60" spans="1:5" x14ac:dyDescent="0.2">
      <c r="A60" t="s">
        <v>14</v>
      </c>
      <c r="B60">
        <v>27</v>
      </c>
      <c r="C60">
        <v>0</v>
      </c>
      <c r="D60">
        <v>256</v>
      </c>
      <c r="E60">
        <v>72.2</v>
      </c>
    </row>
    <row r="61" spans="1:5" x14ac:dyDescent="0.2">
      <c r="A61" t="s">
        <v>14</v>
      </c>
      <c r="B61">
        <v>27</v>
      </c>
      <c r="C61">
        <v>1</v>
      </c>
      <c r="D61">
        <v>256</v>
      </c>
      <c r="E61">
        <v>74.400000000000006</v>
      </c>
    </row>
    <row r="62" spans="1:5" x14ac:dyDescent="0.2">
      <c r="A62" t="s">
        <v>14</v>
      </c>
      <c r="B62">
        <v>1</v>
      </c>
      <c r="C62">
        <v>0</v>
      </c>
      <c r="D62">
        <v>512</v>
      </c>
      <c r="E62">
        <v>57.6</v>
      </c>
    </row>
    <row r="63" spans="1:5" x14ac:dyDescent="0.2">
      <c r="A63" t="s">
        <v>14</v>
      </c>
      <c r="B63">
        <v>4</v>
      </c>
      <c r="C63">
        <v>0</v>
      </c>
      <c r="D63">
        <v>512</v>
      </c>
      <c r="E63">
        <v>66.7</v>
      </c>
    </row>
    <row r="64" spans="1:5" x14ac:dyDescent="0.2">
      <c r="A64" t="s">
        <v>14</v>
      </c>
      <c r="B64">
        <v>4</v>
      </c>
      <c r="C64">
        <v>1</v>
      </c>
      <c r="D64">
        <v>512</v>
      </c>
      <c r="E64">
        <v>71.3</v>
      </c>
    </row>
    <row r="65" spans="1:5" x14ac:dyDescent="0.2">
      <c r="A65" t="s">
        <v>14</v>
      </c>
      <c r="B65">
        <v>27</v>
      </c>
      <c r="C65">
        <v>0</v>
      </c>
      <c r="D65">
        <v>512</v>
      </c>
      <c r="E65">
        <v>71.099999999999994</v>
      </c>
    </row>
    <row r="66" spans="1:5" x14ac:dyDescent="0.2">
      <c r="A66" t="s">
        <v>14</v>
      </c>
      <c r="B66">
        <v>27</v>
      </c>
      <c r="C66">
        <v>1</v>
      </c>
      <c r="D66">
        <v>512</v>
      </c>
      <c r="E66">
        <v>73</v>
      </c>
    </row>
    <row r="67" spans="1:5" x14ac:dyDescent="0.2">
      <c r="A67" t="s">
        <v>14</v>
      </c>
      <c r="B67">
        <v>1</v>
      </c>
      <c r="C67">
        <v>0</v>
      </c>
      <c r="D67">
        <v>768</v>
      </c>
      <c r="E67">
        <v>60</v>
      </c>
    </row>
    <row r="68" spans="1:5" x14ac:dyDescent="0.2">
      <c r="A68" t="s">
        <v>14</v>
      </c>
      <c r="B68">
        <v>4</v>
      </c>
      <c r="C68">
        <v>0</v>
      </c>
      <c r="D68">
        <v>768</v>
      </c>
      <c r="E68">
        <v>65.099999999999994</v>
      </c>
    </row>
    <row r="69" spans="1:5" x14ac:dyDescent="0.2">
      <c r="A69" t="s">
        <v>14</v>
      </c>
      <c r="B69">
        <v>4</v>
      </c>
      <c r="C69">
        <v>1</v>
      </c>
      <c r="D69">
        <v>768</v>
      </c>
      <c r="E69">
        <v>64.5</v>
      </c>
    </row>
    <row r="70" spans="1:5" x14ac:dyDescent="0.2">
      <c r="A70" t="s">
        <v>14</v>
      </c>
      <c r="B70">
        <v>27</v>
      </c>
      <c r="C70">
        <v>0</v>
      </c>
      <c r="D70">
        <v>768</v>
      </c>
      <c r="E70">
        <v>68.900000000000006</v>
      </c>
    </row>
    <row r="71" spans="1:5" x14ac:dyDescent="0.2">
      <c r="A71" t="s">
        <v>14</v>
      </c>
      <c r="B71">
        <v>27</v>
      </c>
      <c r="C71">
        <v>1</v>
      </c>
      <c r="D71">
        <v>768</v>
      </c>
      <c r="E71">
        <v>71.599999999999994</v>
      </c>
    </row>
    <row r="72" spans="1:5" x14ac:dyDescent="0.2">
      <c r="A72" t="s">
        <v>14</v>
      </c>
      <c r="B72">
        <v>1</v>
      </c>
      <c r="C72">
        <v>0</v>
      </c>
      <c r="D72">
        <v>1024</v>
      </c>
      <c r="E72">
        <v>59</v>
      </c>
    </row>
    <row r="73" spans="1:5" x14ac:dyDescent="0.2">
      <c r="A73" t="s">
        <v>14</v>
      </c>
      <c r="B73">
        <v>4</v>
      </c>
      <c r="C73">
        <v>0</v>
      </c>
      <c r="D73">
        <v>1024</v>
      </c>
      <c r="E73">
        <v>65.3</v>
      </c>
    </row>
    <row r="74" spans="1:5" x14ac:dyDescent="0.2">
      <c r="A74" t="s">
        <v>14</v>
      </c>
      <c r="B74">
        <v>4</v>
      </c>
      <c r="C74">
        <v>1</v>
      </c>
      <c r="D74">
        <v>1024</v>
      </c>
      <c r="E74">
        <v>63.8</v>
      </c>
    </row>
    <row r="75" spans="1:5" x14ac:dyDescent="0.2">
      <c r="A75" t="s">
        <v>14</v>
      </c>
      <c r="B75">
        <v>27</v>
      </c>
      <c r="C75">
        <v>0</v>
      </c>
      <c r="D75">
        <v>1024</v>
      </c>
      <c r="E75">
        <v>61.3</v>
      </c>
    </row>
    <row r="76" spans="1:5" x14ac:dyDescent="0.2">
      <c r="A76" t="s">
        <v>14</v>
      </c>
      <c r="B76">
        <v>27</v>
      </c>
      <c r="C76">
        <v>1</v>
      </c>
      <c r="D76">
        <v>1024</v>
      </c>
      <c r="E76">
        <v>70.099999999999994</v>
      </c>
    </row>
    <row r="77" spans="1:5" x14ac:dyDescent="0.2">
      <c r="A77" t="s">
        <v>15</v>
      </c>
      <c r="B77">
        <v>1</v>
      </c>
      <c r="C77">
        <v>0</v>
      </c>
      <c r="D77">
        <v>128</v>
      </c>
      <c r="E77">
        <v>32.1</v>
      </c>
    </row>
    <row r="78" spans="1:5" x14ac:dyDescent="0.2">
      <c r="A78" t="s">
        <v>15</v>
      </c>
      <c r="B78">
        <v>4</v>
      </c>
      <c r="C78">
        <v>0</v>
      </c>
      <c r="D78">
        <v>128</v>
      </c>
      <c r="E78">
        <v>41.4</v>
      </c>
    </row>
    <row r="79" spans="1:5" x14ac:dyDescent="0.2">
      <c r="A79" t="s">
        <v>15</v>
      </c>
      <c r="B79">
        <v>4</v>
      </c>
      <c r="C79">
        <v>1</v>
      </c>
      <c r="D79">
        <v>128</v>
      </c>
      <c r="E79">
        <v>37.700000000000003</v>
      </c>
    </row>
    <row r="80" spans="1:5" x14ac:dyDescent="0.2">
      <c r="A80" t="s">
        <v>15</v>
      </c>
      <c r="B80">
        <v>27</v>
      </c>
      <c r="C80">
        <v>0</v>
      </c>
      <c r="D80">
        <v>128</v>
      </c>
      <c r="E80">
        <v>51.6</v>
      </c>
    </row>
    <row r="81" spans="1:5" x14ac:dyDescent="0.2">
      <c r="A81" t="s">
        <v>15</v>
      </c>
      <c r="B81">
        <v>27</v>
      </c>
      <c r="C81">
        <v>1</v>
      </c>
      <c r="D81">
        <v>128</v>
      </c>
      <c r="E81">
        <v>51</v>
      </c>
    </row>
    <row r="82" spans="1:5" x14ac:dyDescent="0.2">
      <c r="A82" t="s">
        <v>15</v>
      </c>
      <c r="B82">
        <v>1</v>
      </c>
      <c r="C82">
        <v>0</v>
      </c>
      <c r="D82">
        <v>256</v>
      </c>
      <c r="E82">
        <v>30.1</v>
      </c>
    </row>
    <row r="83" spans="1:5" x14ac:dyDescent="0.2">
      <c r="A83" t="s">
        <v>15</v>
      </c>
      <c r="B83">
        <v>4</v>
      </c>
      <c r="C83">
        <v>0</v>
      </c>
      <c r="D83">
        <v>256</v>
      </c>
      <c r="E83">
        <v>43.5</v>
      </c>
    </row>
    <row r="84" spans="1:5" x14ac:dyDescent="0.2">
      <c r="A84" t="s">
        <v>15</v>
      </c>
      <c r="B84">
        <v>4</v>
      </c>
      <c r="C84">
        <v>1</v>
      </c>
      <c r="D84">
        <v>256</v>
      </c>
      <c r="E84">
        <v>40.799999999999997</v>
      </c>
    </row>
    <row r="85" spans="1:5" x14ac:dyDescent="0.2">
      <c r="A85" t="s">
        <v>15</v>
      </c>
      <c r="B85">
        <v>27</v>
      </c>
      <c r="C85">
        <v>0</v>
      </c>
      <c r="D85">
        <v>256</v>
      </c>
      <c r="E85">
        <v>53.6</v>
      </c>
    </row>
    <row r="86" spans="1:5" x14ac:dyDescent="0.2">
      <c r="A86" t="s">
        <v>15</v>
      </c>
      <c r="B86">
        <v>27</v>
      </c>
      <c r="C86">
        <v>1</v>
      </c>
      <c r="D86">
        <v>256</v>
      </c>
      <c r="E86">
        <v>51.1</v>
      </c>
    </row>
    <row r="87" spans="1:5" x14ac:dyDescent="0.2">
      <c r="A87" t="s">
        <v>15</v>
      </c>
      <c r="B87">
        <v>1</v>
      </c>
      <c r="C87">
        <v>0</v>
      </c>
      <c r="D87">
        <v>512</v>
      </c>
      <c r="E87">
        <v>36.9</v>
      </c>
    </row>
    <row r="88" spans="1:5" x14ac:dyDescent="0.2">
      <c r="A88" t="s">
        <v>15</v>
      </c>
      <c r="B88">
        <v>4</v>
      </c>
      <c r="C88">
        <v>0</v>
      </c>
      <c r="D88">
        <v>512</v>
      </c>
      <c r="E88">
        <v>52.5</v>
      </c>
    </row>
    <row r="89" spans="1:5" x14ac:dyDescent="0.2">
      <c r="A89" t="s">
        <v>15</v>
      </c>
      <c r="B89">
        <v>4</v>
      </c>
      <c r="C89">
        <v>1</v>
      </c>
      <c r="D89">
        <v>512</v>
      </c>
      <c r="E89">
        <v>42.1</v>
      </c>
    </row>
    <row r="90" spans="1:5" x14ac:dyDescent="0.2">
      <c r="A90" t="s">
        <v>15</v>
      </c>
      <c r="B90">
        <v>27</v>
      </c>
      <c r="C90">
        <v>0</v>
      </c>
      <c r="D90">
        <v>512</v>
      </c>
      <c r="E90">
        <v>53.9</v>
      </c>
    </row>
    <row r="91" spans="1:5" x14ac:dyDescent="0.2">
      <c r="A91" t="s">
        <v>15</v>
      </c>
      <c r="B91">
        <v>27</v>
      </c>
      <c r="C91">
        <v>1</v>
      </c>
      <c r="D91">
        <v>512</v>
      </c>
      <c r="E91">
        <v>56.9</v>
      </c>
    </row>
    <row r="92" spans="1:5" x14ac:dyDescent="0.2">
      <c r="A92" t="s">
        <v>15</v>
      </c>
      <c r="B92">
        <v>1</v>
      </c>
      <c r="C92">
        <v>0</v>
      </c>
      <c r="D92">
        <v>768</v>
      </c>
      <c r="E92">
        <v>38.9</v>
      </c>
    </row>
    <row r="93" spans="1:5" x14ac:dyDescent="0.2">
      <c r="A93" t="s">
        <v>15</v>
      </c>
      <c r="B93">
        <v>4</v>
      </c>
      <c r="C93">
        <v>0</v>
      </c>
      <c r="D93">
        <v>768</v>
      </c>
      <c r="E93">
        <v>49</v>
      </c>
    </row>
    <row r="94" spans="1:5" x14ac:dyDescent="0.2">
      <c r="A94" t="s">
        <v>15</v>
      </c>
      <c r="B94">
        <v>4</v>
      </c>
      <c r="C94">
        <v>1</v>
      </c>
      <c r="D94">
        <v>768</v>
      </c>
      <c r="E94">
        <v>40.799999999999997</v>
      </c>
    </row>
    <row r="95" spans="1:5" x14ac:dyDescent="0.2">
      <c r="A95" t="s">
        <v>15</v>
      </c>
      <c r="B95">
        <v>27</v>
      </c>
      <c r="C95">
        <v>0</v>
      </c>
      <c r="D95">
        <v>768</v>
      </c>
      <c r="E95">
        <v>53</v>
      </c>
    </row>
    <row r="96" spans="1:5" x14ac:dyDescent="0.2">
      <c r="A96" t="s">
        <v>15</v>
      </c>
      <c r="B96">
        <v>27</v>
      </c>
      <c r="C96">
        <v>1</v>
      </c>
      <c r="D96">
        <v>768</v>
      </c>
      <c r="E96">
        <v>58.6</v>
      </c>
    </row>
    <row r="97" spans="1:5" x14ac:dyDescent="0.2">
      <c r="A97" t="s">
        <v>15</v>
      </c>
      <c r="B97">
        <v>1</v>
      </c>
      <c r="C97">
        <v>0</v>
      </c>
      <c r="D97">
        <v>1024</v>
      </c>
      <c r="E97">
        <v>39.5</v>
      </c>
    </row>
    <row r="98" spans="1:5" x14ac:dyDescent="0.2">
      <c r="A98" t="s">
        <v>15</v>
      </c>
      <c r="B98">
        <v>4</v>
      </c>
      <c r="C98">
        <v>0</v>
      </c>
      <c r="D98">
        <v>1024</v>
      </c>
      <c r="E98">
        <v>50.2</v>
      </c>
    </row>
    <row r="99" spans="1:5" x14ac:dyDescent="0.2">
      <c r="A99" t="s">
        <v>15</v>
      </c>
      <c r="B99">
        <v>4</v>
      </c>
      <c r="C99">
        <v>1</v>
      </c>
      <c r="D99">
        <v>1024</v>
      </c>
      <c r="E99">
        <v>43.2</v>
      </c>
    </row>
    <row r="100" spans="1:5" x14ac:dyDescent="0.2">
      <c r="A100" t="s">
        <v>15</v>
      </c>
      <c r="B100">
        <v>27</v>
      </c>
      <c r="C100">
        <v>0</v>
      </c>
      <c r="D100">
        <v>1024</v>
      </c>
      <c r="E100">
        <v>51</v>
      </c>
    </row>
    <row r="101" spans="1:5" x14ac:dyDescent="0.2">
      <c r="A101" t="s">
        <v>15</v>
      </c>
      <c r="B101">
        <v>27</v>
      </c>
      <c r="C101">
        <v>1</v>
      </c>
      <c r="D101">
        <v>1024</v>
      </c>
      <c r="E101">
        <v>60.3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Bhattacharyya</dc:creator>
  <cp:lastModifiedBy>Kiran Bhattacharyya</cp:lastModifiedBy>
  <dcterms:created xsi:type="dcterms:W3CDTF">2025-12-10T21:27:07Z</dcterms:created>
  <dcterms:modified xsi:type="dcterms:W3CDTF">2025-12-12T21:35:04Z</dcterms:modified>
</cp:coreProperties>
</file>